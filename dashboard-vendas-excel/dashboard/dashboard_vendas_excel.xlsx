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9fc0acb9c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ados" sheetId="1" r:id="R1ae3966cca9a4e02"/>
    <x:sheet xmlns:r="http://schemas.openxmlformats.org/officeDocument/2006/relationships" name="Apoio" sheetId="2" r:id="R2a62832228174188"/>
    <x:sheet xmlns:r="http://schemas.openxmlformats.org/officeDocument/2006/relationships" name="Dashboard" sheetId="3" r:id="Ra8ed9427df4f4506"/>
    <x:sheet xmlns:r="http://schemas.openxmlformats.org/officeDocument/2006/relationships" name="Instrucoes" sheetId="4" r:id="Re4f2aa4fa4a0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R$ #,##0.00"/>
    <x:numFmt numFmtId="202" formatCode="0"/>
    <x:numFmt numFmtId="203" formatCode="mmm/yy"/>
    <x:numFmt numFmtId="204" formatCode="@"/>
    <x:numFmt numFmtId="205" formatCode="0.0%"/>
  </x:numFmts>
  <x:fonts count="8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i/>
      <x:sz val="11"/>
      <x:color rgb="334155"/>
      <x:name val="Carlito"/>
    </x:font>
    <x:font>
      <x:b/>
      <x:sz val="16"/>
      <x:color rgb="0F172A"/>
      <x:name val="Carlito"/>
    </x:font>
    <x:font>
      <x:b/>
      <x:sz val="12"/>
      <x:color rgb="0F172A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34155"/>
      </x:patternFill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E293B"/>
      </x:patternFill>
    </x:fill>
    <x:fill>
      <x:patternFill patternType="solid">
        <x:fgColor rgb="F8FAFC"/>
      </x:patternFill>
    </x:fill>
  </x:fills>
  <x:borders count="4">
    <x:border/>
    <x:border/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201" fontId="4" fillId="7" borderId="0" xfId="0" applyNumberFormat="1" applyFont="1" applyFill="1" applyBorder="1" applyAlignment="1">
      <x:alignment horizontal="center" vertical="center"/>
    </x:xf>
    <x:xf numFmtId="201" fontId="4" fillId="7" borderId="1" xfId="0" applyNumberFormat="1" applyFont="1" applyFill="1" applyBorder="1" applyAlignment="1">
      <x:alignment horizontal="center" vertical="center"/>
    </x:xf>
    <x:xf numFmtId="202" fontId="4" fillId="7" borderId="0" xfId="0" applyNumberFormat="1" applyFont="1" applyFill="1" applyBorder="1" applyAlignment="1">
      <x:alignment horizontal="center" vertical="center"/>
    </x:xf>
    <x:xf numFmtId="202" fontId="4" fillId="7" borderId="1" xfId="0" applyNumberFormat="1" applyFont="1" applyFill="1" applyBorder="1" applyAlignment="1">
      <x:alignment horizontal="center" vertical="center"/>
    </x:xf>
    <x:xf numFmtId="204" fontId="4" fillId="7" borderId="0" xfId="0" applyNumberFormat="1" applyFont="1" applyFill="1" applyBorder="1" applyAlignment="1">
      <x:alignment horizontal="center" vertical="center"/>
    </x:xf>
    <x:xf numFmtId="204" fontId="4" fillId="7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5" fontId="0" fillId="0" borderId="2" xfId="0" applyNumberFormat="1" applyFont="1" applyFill="1" applyBorder="1"/>
    <x:xf numFmtId="0" fontId="1" fillId="3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5" fontId="0" fillId="0" borderId="3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5" fontId="0" fillId="0" borderId="2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5" fontId="0" fillId="0" borderId="3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1" fontId="4" fillId="7" borderId="0" xfId="0" applyNumberFormat="1" applyFont="1" applyFill="1" applyBorder="1" applyAlignment="1">
      <x:alignment horizontal="center" vertical="center" wrapText="1"/>
    </x:xf>
    <x:xf numFmtId="202" fontId="4" fillId="7" borderId="0" xfId="0" applyNumberFormat="1" applyFont="1" applyFill="1" applyBorder="1" applyAlignment="1">
      <x:alignment horizontal="center" vertical="center" wrapText="1"/>
    </x:xf>
    <x:xf numFmtId="204" fontId="4" fillId="7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205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51f831c4d45d7" /><Relationship Type="http://schemas.openxmlformats.org/officeDocument/2006/relationships/theme" Target="/xl/theme/theme1.xml" Id="R2fb8b266f07748b5" /><Relationship Type="http://schemas.openxmlformats.org/officeDocument/2006/relationships/sharedStrings" Target="/xl/sharedStrings.xml" Id="R0765c1894805407e" /><Relationship Type="http://schemas.openxmlformats.org/officeDocument/2006/relationships/worksheet" Target="/xl/worksheets/sheet1.xml" Id="R1ae3966cca9a4e02" /><Relationship Type="http://schemas.openxmlformats.org/officeDocument/2006/relationships/worksheet" Target="/xl/worksheets/sheet2.xml" Id="R2a62832228174188" /><Relationship Type="http://schemas.openxmlformats.org/officeDocument/2006/relationships/worksheet" Target="/xl/worksheets/sheet3.xml" Id="Ra8ed9427df4f4506" /><Relationship Type="http://schemas.openxmlformats.org/officeDocument/2006/relationships/worksheet" Target="/xl/worksheets/sheet4.xml" Id="Re4f2aa4fa4a048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e215e472124c16" /><Relationship Type="http://schemas.openxmlformats.org/officeDocument/2006/relationships/chart" Target="/xl/drawings/charts/chart2.xml" Id="R2d91dbac912646ba" /><Relationship Type="http://schemas.openxmlformats.org/officeDocument/2006/relationships/chart" Target="/xl/drawings/charts/chart3.xml" Id="R7e6abcfc92b44f45" /><Relationship Type="http://schemas.openxmlformats.org/officeDocument/2006/relationships/chart" Target="/xl/drawings/charts/chart4.xml" Id="R6e88c543921e4a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de Receita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Receita</c:v>
          </c:tx>
          <c:cat>
            <c:strRef>
              <c:f>'Apoio'!$A$2:$A$13</c:f>
              <c:strCache>
                <c:ptCount val="0"/>
              </c:strCache>
            </c:strRef>
          </c:cat>
          <c:val>
            <c:numRef>
              <c:f>'Apoio'!$B$2:$B$13</c:f>
              <c:numCache>
                <c:formatCode>R$ 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Receita</c:v>
          </c:tx>
          <c:cat>
            <c:strRef>
              <c:f>'Apoio'!$D$2:$D$6</c:f>
              <c:strCache>
                <c:ptCount val="0"/>
              </c:strCache>
            </c:strRef>
          </c:cat>
          <c:val>
            <c:numRef>
              <c:f>'Apoio'!$E$2:$E$6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Região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Receita</c:v>
          </c:tx>
          <c:cat>
            <c:strRef>
              <c:f>'Apoio'!$G$2:$G$6</c:f>
              <c:strCache>
                <c:ptCount val="0"/>
              </c:strCache>
            </c:strRef>
          </c:cat>
          <c:val>
            <c:numRef>
              <c:f>'Apoio'!$H$2:$H$6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Receita por Vendedor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Receita</c:v>
          </c:tx>
          <c:cat>
            <c:strRef>
              <c:f>'Apoio'!$J$2:$J$7</c:f>
              <c:strCache>
                <c:ptCount val="0"/>
              </c:strCache>
            </c:strRef>
          </c:cat>
          <c:val>
            <c:numRef>
              <c:f>'Apoio'!$K$2:$K$7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e215e472124c16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91dbac912646ba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6abcfc92b44f45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15</xdr:col>
      <xdr:colOff>0</xdr:colOff>
      <xdr:row>37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88c543921e4a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Vendas" displayName="TabelaVendas" ref="A1:J221" headerRowCount="1">
  <x:tableColumns count="10">
    <x:tableColumn id="1" name="Data"/>
    <x:tableColumn id="2" name="Mês"/>
    <x:tableColumn id="3" name="Produto"/>
    <x:tableColumn id="4" name="Categoria"/>
    <x:tableColumn id="5" name="Região"/>
    <x:tableColumn id="6" name="Vendedor"/>
    <x:tableColumn id="7" name="Canal"/>
    <x:tableColumn id="8" name="Quantidade"/>
    <x:tableColumn id="9" name="Preço Unitário"/>
    <x:tableColumn id="10" name="Recei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7b558b2b3541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5b030952c7048f4" /></Relationships>
</file>

<file path=xl/worksheets/sheet1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8.210000038146973" hidden="0" customWidth="1"/>
    <x:col min="3" max="3" width="16.020000457763672" hidden="0" customWidth="1"/>
    <x:col min="4" max="4" width="10.359999656677246" hidden="0" customWidth="1"/>
    <x:col min="5" max="5" width="10.630000114440918" hidden="0" customWidth="1"/>
    <x:col min="6" max="6" width="10.630000114440918" hidden="0" customWidth="1"/>
    <x:col min="7" max="7" width="9.960000038146973" hidden="0" customWidth="1"/>
    <x:col min="8" max="8" width="12.25" hidden="0" customWidth="1"/>
    <x:col min="9" max="9" width="14.399999618530273" hidden="0" customWidth="1"/>
    <x:col min="10" max="10" width="17.5" hidden="0" customWidth="1"/>
  </x:cols>
  <x:sheetData>
    <x:row r="1">
      <x:c r="A1" s="5" t="str">
        <x:v>Data</x:v>
      </x:c>
      <x:c r="B1" s="5" t="str">
        <x:v>Mês</x:v>
      </x:c>
      <x:c r="C1" s="5" t="str">
        <x:v>Produto</x:v>
      </x:c>
      <x:c r="D1" s="5" t="str">
        <x:v>Categoria</x:v>
      </x:c>
      <x:c r="E1" s="5" t="str">
        <x:v>Região</x:v>
      </x:c>
      <x:c r="F1" s="5" t="str">
        <x:v>Vendedor</x:v>
      </x:c>
      <x:c r="G1" s="5" t="str">
        <x:v>Canal</x:v>
      </x:c>
      <x:c r="H1" s="5" t="str">
        <x:v>Quantidade</x:v>
      </x:c>
      <x:c r="I1" s="5" t="str">
        <x:v>Preço Unitário</x:v>
      </x:c>
      <x:c r="J1" s="5" t="str">
        <x:v>Receita</x:v>
      </x:c>
    </x:row>
    <x:row r="2">
      <x:c r="A2" s="10" t="n">
        <x:v>45985</x:v>
      </x:c>
      <x:c r="B2" t="str">
        <x:v>Nov/2025</x:v>
      </x:c>
      <x:c r="C2" t="str">
        <x:v>Xbox Series S</x:v>
      </x:c>
      <x:c r="D2" t="str">
        <x:v>Console</x:v>
      </x:c>
      <x:c r="E2" t="str">
        <x:v>Sudeste</x:v>
      </x:c>
      <x:c r="F2" t="str">
        <x:v>Bruno</x:v>
      </x:c>
      <x:c r="G2" t="str">
        <x:v>E-commerce</x:v>
      </x:c>
      <x:c r="H2" s="14" t="n">
        <x:v>1</x:v>
      </x:c>
      <x:c r="I2" s="12" t="n">
        <x:v>2499.9</x:v>
      </x:c>
      <x:c r="J2" s="12" t="n">
        <x:f>H2*I2</x:f>
        <x:v>2499.9</x:v>
      </x:c>
    </x:row>
    <x:row r="3">
      <x:c r="A3" s="10" t="n">
        <x:v>45710</x:v>
      </x:c>
      <x:c r="B3" t="str">
        <x:v>Feb/2025</x:v>
      </x:c>
      <x:c r="C3" t="str">
        <x:v>Xbox Series S</x:v>
      </x:c>
      <x:c r="D3" t="str">
        <x:v>Console</x:v>
      </x:c>
      <x:c r="E3" t="str">
        <x:v>Sul</x:v>
      </x:c>
      <x:c r="F3" t="str">
        <x:v>Ana</x:v>
      </x:c>
      <x:c r="G3" t="str">
        <x:v>E-commerce</x:v>
      </x:c>
      <x:c r="H3" s="14" t="n">
        <x:v>2</x:v>
      </x:c>
      <x:c r="I3" s="12" t="n">
        <x:v>2499.9</x:v>
      </x:c>
      <x:c r="J3" s="12" t="n">
        <x:f>H3*I3</x:f>
        <x:v>4999.8</x:v>
      </x:c>
    </x:row>
    <x:row r="4">
      <x:c r="A4" s="10" t="n">
        <x:v>45777</x:v>
      </x:c>
      <x:c r="B4" t="str">
        <x:v>Apr/2025</x:v>
      </x:c>
      <x:c r="C4" t="str">
        <x:v>Xbox Series X</x:v>
      </x:c>
      <x:c r="D4" t="str">
        <x:v>Console</x:v>
      </x:c>
      <x:c r="E4" t="str">
        <x:v>Nordeste</x:v>
      </x:c>
      <x:c r="F4" t="str">
        <x:v>Bruno</x:v>
      </x:c>
      <x:c r="G4" t="str">
        <x:v>Televendas</x:v>
      </x:c>
      <x:c r="H4" s="14" t="n">
        <x:v>2</x:v>
      </x:c>
      <x:c r="I4" s="12" t="n">
        <x:v>4049.91</x:v>
      </x:c>
      <x:c r="J4" s="12" t="n">
        <x:f>H4*I4</x:f>
        <x:v>8099.82</x:v>
      </x:c>
    </x:row>
    <x:row r="5">
      <x:c r="A5" s="10" t="n">
        <x:v>45959</x:v>
      </x:c>
      <x:c r="B5" t="str">
        <x:v>Oct/2025</x:v>
      </x:c>
      <x:c r="C5" t="str">
        <x:v>Game Pass Ultimate</x:v>
      </x:c>
      <x:c r="D5" t="str">
        <x:v>Assinatura</x:v>
      </x:c>
      <x:c r="E5" t="str">
        <x:v>Sudeste</x:v>
      </x:c>
      <x:c r="F5" t="str">
        <x:v>Fernanda</x:v>
      </x:c>
      <x:c r="G5" t="str">
        <x:v>Televendas</x:v>
      </x:c>
      <x:c r="H5" s="14" t="n">
        <x:v>3</x:v>
      </x:c>
      <x:c r="I5" s="12" t="n">
        <x:v>59.9</x:v>
      </x:c>
      <x:c r="J5" s="12" t="n">
        <x:f>H5*I5</x:f>
        <x:v>179.7</x:v>
      </x:c>
    </x:row>
    <x:row r="6">
      <x:c r="A6" s="10" t="n">
        <x:v>45832</x:v>
      </x:c>
      <x:c r="B6" t="str">
        <x:v>Jun/2025</x:v>
      </x:c>
      <x:c r="C6" t="str">
        <x:v>Game Pass Ultimate</x:v>
      </x:c>
      <x:c r="D6" t="str">
        <x:v>Assinatura</x:v>
      </x:c>
      <x:c r="E6" t="str">
        <x:v>Sul</x:v>
      </x:c>
      <x:c r="F6" t="str">
        <x:v>Ana</x:v>
      </x:c>
      <x:c r="G6" t="str">
        <x:v>Televendas</x:v>
      </x:c>
      <x:c r="H6" s="14" t="n">
        <x:v>1</x:v>
      </x:c>
      <x:c r="I6" s="12" t="n">
        <x:v>59.9</x:v>
      </x:c>
      <x:c r="J6" s="12" t="n">
        <x:f>H6*I6</x:f>
        <x:v>59.9</x:v>
      </x:c>
    </x:row>
    <x:row r="7">
      <x:c r="A7" s="10" t="n">
        <x:v>45707</x:v>
      </x:c>
      <x:c r="B7" t="str">
        <x:v>Feb/2025</x:v>
      </x:c>
      <x:c r="C7" t="str">
        <x:v>Forza Horizon 5</x:v>
      </x:c>
      <x:c r="D7" t="str">
        <x:v>Jogo</x:v>
      </x:c>
      <x:c r="E7" t="str">
        <x:v>Centro-Oeste</x:v>
      </x:c>
      <x:c r="F7" t="str">
        <x:v>Ana</x:v>
      </x:c>
      <x:c r="G7" t="str">
        <x:v>Televendas</x:v>
      </x:c>
      <x:c r="H7" s="14" t="n">
        <x:v>3</x:v>
      </x:c>
      <x:c r="I7" s="12" t="n">
        <x:v>224.91</x:v>
      </x:c>
      <x:c r="J7" s="12" t="n">
        <x:f>H7*I7</x:f>
        <x:v>674.73</x:v>
      </x:c>
    </x:row>
    <x:row r="8">
      <x:c r="A8" s="10" t="n">
        <x:v>45932</x:v>
      </x:c>
      <x:c r="B8" t="str">
        <x:v>Oct/2025</x:v>
      </x:c>
      <x:c r="C8" t="str">
        <x:v>Xbox Series S</x:v>
      </x:c>
      <x:c r="D8" t="str">
        <x:v>Console</x:v>
      </x:c>
      <x:c r="E8" t="str">
        <x:v>Sul</x:v>
      </x:c>
      <x:c r="F8" t="str">
        <x:v>Eduardo</x:v>
      </x:c>
      <x:c r="G8" t="str">
        <x:v>Marketplace</x:v>
      </x:c>
      <x:c r="H8" s="14" t="n">
        <x:v>5</x:v>
      </x:c>
      <x:c r="I8" s="12" t="n">
        <x:v>2374.91</x:v>
      </x:c>
      <x:c r="J8" s="12" t="n">
        <x:f>H8*I8</x:f>
        <x:v>11874.55</x:v>
      </x:c>
    </x:row>
    <x:row r="9">
      <x:c r="A9" s="10" t="n">
        <x:v>45979</x:v>
      </x:c>
      <x:c r="B9" t="str">
        <x:v>Nov/2025</x:v>
      </x:c>
      <x:c r="C9" t="str">
        <x:v>Forza Horizon 5</x:v>
      </x:c>
      <x:c r="D9" t="str">
        <x:v>Jogo</x:v>
      </x:c>
      <x:c r="E9" t="str">
        <x:v>Sul</x:v>
      </x:c>
      <x:c r="F9" t="str">
        <x:v>Fernanda</x:v>
      </x:c>
      <x:c r="G9" t="str">
        <x:v>E-commerce</x:v>
      </x:c>
      <x:c r="H9" s="14" t="n">
        <x:v>2</x:v>
      </x:c>
      <x:c r="I9" s="12" t="n">
        <x:v>249.9</x:v>
      </x:c>
      <x:c r="J9" s="12" t="n">
        <x:f>H9*I9</x:f>
        <x:v>499.8</x:v>
      </x:c>
    </x:row>
    <x:row r="10">
      <x:c r="A10" s="10" t="n">
        <x:v>45806</x:v>
      </x:c>
      <x:c r="B10" t="str">
        <x:v>May/2025</x:v>
      </x:c>
      <x:c r="C10" t="str">
        <x:v>Xbox Series S</x:v>
      </x:c>
      <x:c r="D10" t="str">
        <x:v>Console</x:v>
      </x:c>
      <x:c r="E10" t="str">
        <x:v>Nordeste</x:v>
      </x:c>
      <x:c r="F10" t="str">
        <x:v>Carlos</x:v>
      </x:c>
      <x:c r="G10" t="str">
        <x:v>Televendas</x:v>
      </x:c>
      <x:c r="H10" s="14" t="n">
        <x:v>4</x:v>
      </x:c>
      <x:c r="I10" s="12" t="n">
        <x:v>2499.9</x:v>
      </x:c>
      <x:c r="J10" s="12" t="n">
        <x:f>H10*I10</x:f>
        <x:v>9999.6</x:v>
      </x:c>
    </x:row>
    <x:row r="11">
      <x:c r="A11" s="10" t="n">
        <x:v>45983</x:v>
      </x:c>
      <x:c r="B11" t="str">
        <x:v>Nov/2025</x:v>
      </x:c>
      <x:c r="C11" t="str">
        <x:v>Forza Horizon 5</x:v>
      </x:c>
      <x:c r="D11" t="str">
        <x:v>Jogo</x:v>
      </x:c>
      <x:c r="E11" t="str">
        <x:v>Sudeste</x:v>
      </x:c>
      <x:c r="F11" t="str">
        <x:v>Fernanda</x:v>
      </x:c>
      <x:c r="G11" t="str">
        <x:v>Marketplace</x:v>
      </x:c>
      <x:c r="H11" s="14" t="n">
        <x:v>1</x:v>
      </x:c>
      <x:c r="I11" s="12" t="n">
        <x:v>249.9</x:v>
      </x:c>
      <x:c r="J11" s="12" t="n">
        <x:f>H11*I11</x:f>
        <x:v>249.9</x:v>
      </x:c>
    </x:row>
    <x:row r="12">
      <x:c r="A12" s="10" t="n">
        <x:v>46017</x:v>
      </x:c>
      <x:c r="B12" t="str">
        <x:v>Dec/2025</x:v>
      </x:c>
      <x:c r="C12" t="str">
        <x:v>Xbox Series S</x:v>
      </x:c>
      <x:c r="D12" t="str">
        <x:v>Console</x:v>
      </x:c>
      <x:c r="E12" t="str">
        <x:v>Norte</x:v>
      </x:c>
      <x:c r="F12" t="str">
        <x:v>Fernanda</x:v>
      </x:c>
      <x:c r="G12" t="str">
        <x:v>E-commerce</x:v>
      </x:c>
      <x:c r="H12" s="14" t="n">
        <x:v>2</x:v>
      </x:c>
      <x:c r="I12" s="12" t="n">
        <x:v>2499.9</x:v>
      </x:c>
      <x:c r="J12" s="12" t="n">
        <x:f>H12*I12</x:f>
        <x:v>4999.8</x:v>
      </x:c>
    </x:row>
    <x:row r="13">
      <x:c r="A13" s="10" t="n">
        <x:v>45741</x:v>
      </x:c>
      <x:c r="B13" t="str">
        <x:v>Mar/2025</x:v>
      </x:c>
      <x:c r="C13" t="str">
        <x:v>Gift Card Xbox</x:v>
      </x:c>
      <x:c r="D13" t="str">
        <x:v>Gift Card</x:v>
      </x:c>
      <x:c r="E13" t="str">
        <x:v>Sudeste</x:v>
      </x:c>
      <x:c r="F13" t="str">
        <x:v>Fernanda</x:v>
      </x:c>
      <x:c r="G13" t="str">
        <x:v>Marketplace</x:v>
      </x:c>
      <x:c r="H13" s="14" t="n">
        <x:v>1</x:v>
      </x:c>
      <x:c r="I13" s="12" t="n">
        <x:v>90</x:v>
      </x:c>
      <x:c r="J13" s="12" t="n">
        <x:f>H13*I13</x:f>
        <x:v>90</x:v>
      </x:c>
    </x:row>
    <x:row r="14">
      <x:c r="A14" s="10" t="n">
        <x:v>45686</x:v>
      </x:c>
      <x:c r="B14" t="str">
        <x:v>Jan/2025</x:v>
      </x:c>
      <x:c r="C14" t="str">
        <x:v>Headset Xbox</x:v>
      </x:c>
      <x:c r="D14" t="str">
        <x:v>Acessório</x:v>
      </x:c>
      <x:c r="E14" t="str">
        <x:v>Nordeste</x:v>
      </x:c>
      <x:c r="F14" t="str">
        <x:v>Carlos</x:v>
      </x:c>
      <x:c r="G14" t="str">
        <x:v>Loja física</x:v>
      </x:c>
      <x:c r="H14" s="14" t="n">
        <x:v>3</x:v>
      </x:c>
      <x:c r="I14" s="12" t="n">
        <x:v>299.9</x:v>
      </x:c>
      <x:c r="J14" s="12" t="n">
        <x:f>H14*I14</x:f>
        <x:v>899.6999999999999</x:v>
      </x:c>
    </x:row>
    <x:row r="15">
      <x:c r="A15" s="10" t="n">
        <x:v>45766</x:v>
      </x:c>
      <x:c r="B15" t="str">
        <x:v>Apr/2025</x:v>
      </x:c>
      <x:c r="C15" t="str">
        <x:v>Forza Horizon 5</x:v>
      </x:c>
      <x:c r="D15" t="str">
        <x:v>Jogo</x:v>
      </x:c>
      <x:c r="E15" t="str">
        <x:v>Nordeste</x:v>
      </x:c>
      <x:c r="F15" t="str">
        <x:v>Fernanda</x:v>
      </x:c>
      <x:c r="G15" t="str">
        <x:v>Televendas</x:v>
      </x:c>
      <x:c r="H15" s="14" t="n">
        <x:v>1</x:v>
      </x:c>
      <x:c r="I15" s="12" t="n">
        <x:v>237.41</x:v>
      </x:c>
      <x:c r="J15" s="12" t="n">
        <x:f>H15*I15</x:f>
        <x:v>237.41</x:v>
      </x:c>
    </x:row>
    <x:row r="16">
      <x:c r="A16" s="10" t="n">
        <x:v>45731</x:v>
      </x:c>
      <x:c r="B16" t="str">
        <x:v>Mar/2025</x:v>
      </x:c>
      <x:c r="C16" t="str">
        <x:v>Game Pass Ultimate</x:v>
      </x:c>
      <x:c r="D16" t="str">
        <x:v>Assinatura</x:v>
      </x:c>
      <x:c r="E16" t="str">
        <x:v>Norte</x:v>
      </x:c>
      <x:c r="F16" t="str">
        <x:v>Carlos</x:v>
      </x:c>
      <x:c r="G16" t="str">
        <x:v>Televendas</x:v>
      </x:c>
      <x:c r="H16" s="14" t="n">
        <x:v>1</x:v>
      </x:c>
      <x:c r="I16" s="12" t="n">
        <x:v>53.91</x:v>
      </x:c>
      <x:c r="J16" s="12" t="n">
        <x:f>H16*I16</x:f>
        <x:v>53.91</x:v>
      </x:c>
    </x:row>
    <x:row r="17">
      <x:c r="A17" s="10" t="n">
        <x:v>45956</x:v>
      </x:c>
      <x:c r="B17" t="str">
        <x:v>Oct/2025</x:v>
      </x:c>
      <x:c r="C17" t="str">
        <x:v>Halo Infinite</x:v>
      </x:c>
      <x:c r="D17" t="str">
        <x:v>Jogo</x:v>
      </x:c>
      <x:c r="E17" t="str">
        <x:v>Norte</x:v>
      </x:c>
      <x:c r="F17" t="str">
        <x:v>Daniela</x:v>
      </x:c>
      <x:c r="G17" t="str">
        <x:v>Loja física</x:v>
      </x:c>
      <x:c r="H17" s="14" t="n">
        <x:v>1</x:v>
      </x:c>
      <x:c r="I17" s="12" t="n">
        <x:v>199.9</x:v>
      </x:c>
      <x:c r="J17" s="12" t="n">
        <x:f>H17*I17</x:f>
        <x:v>199.9</x:v>
      </x:c>
    </x:row>
    <x:row r="18">
      <x:c r="A18" s="10" t="n">
        <x:v>45682</x:v>
      </x:c>
      <x:c r="B18" t="str">
        <x:v>Jan/2025</x:v>
      </x:c>
      <x:c r="C18" t="str">
        <x:v>Xbox Series S</x:v>
      </x:c>
      <x:c r="D18" t="str">
        <x:v>Console</x:v>
      </x:c>
      <x:c r="E18" t="str">
        <x:v>Nordeste</x:v>
      </x:c>
      <x:c r="F18" t="str">
        <x:v>Eduardo</x:v>
      </x:c>
      <x:c r="G18" t="str">
        <x:v>Loja física</x:v>
      </x:c>
      <x:c r="H18" s="14" t="n">
        <x:v>1</x:v>
      </x:c>
      <x:c r="I18" s="12" t="n">
        <x:v>2499.9</x:v>
      </x:c>
      <x:c r="J18" s="12" t="n">
        <x:f>H18*I18</x:f>
        <x:v>2499.9</x:v>
      </x:c>
    </x:row>
    <x:row r="19">
      <x:c r="A19" s="10" t="n">
        <x:v>45855</x:v>
      </x:c>
      <x:c r="B19" t="str">
        <x:v>Jul/2025</x:v>
      </x:c>
      <x:c r="C19" t="str">
        <x:v>Halo Infinite</x:v>
      </x:c>
      <x:c r="D19" t="str">
        <x:v>Jogo</x:v>
      </x:c>
      <x:c r="E19" t="str">
        <x:v>Norte</x:v>
      </x:c>
      <x:c r="F19" t="str">
        <x:v>Carlos</x:v>
      </x:c>
      <x:c r="G19" t="str">
        <x:v>Loja física</x:v>
      </x:c>
      <x:c r="H19" s="14" t="n">
        <x:v>2</x:v>
      </x:c>
      <x:c r="I19" s="12" t="n">
        <x:v>189.91</x:v>
      </x:c>
      <x:c r="J19" s="12" t="n">
        <x:f>H19*I19</x:f>
        <x:v>379.82</x:v>
      </x:c>
    </x:row>
    <x:row r="20">
      <x:c r="A20" s="10" t="n">
        <x:v>46006</x:v>
      </x:c>
      <x:c r="B20" t="str">
        <x:v>Dec/2025</x:v>
      </x:c>
      <x:c r="C20" t="str">
        <x:v>Xbox Series S</x:v>
      </x:c>
      <x:c r="D20" t="str">
        <x:v>Console</x:v>
      </x:c>
      <x:c r="E20" t="str">
        <x:v>Centro-Oeste</x:v>
      </x:c>
      <x:c r="F20" t="str">
        <x:v>Fernanda</x:v>
      </x:c>
      <x:c r="G20" t="str">
        <x:v>Marketplace</x:v>
      </x:c>
      <x:c r="H20" s="14" t="n">
        <x:v>2</x:v>
      </x:c>
      <x:c r="I20" s="12" t="n">
        <x:v>2249.91</x:v>
      </x:c>
      <x:c r="J20" s="12" t="n">
        <x:f>H20*I20</x:f>
        <x:v>4499.82</x:v>
      </x:c>
    </x:row>
    <x:row r="21">
      <x:c r="A21" s="10" t="n">
        <x:v>45715</x:v>
      </x:c>
      <x:c r="B21" t="str">
        <x:v>Feb/2025</x:v>
      </x:c>
      <x:c r="C21" t="str">
        <x:v>Game Pass Ultimate</x:v>
      </x:c>
      <x:c r="D21" t="str">
        <x:v>Assinatura</x:v>
      </x:c>
      <x:c r="E21" t="str">
        <x:v>Sul</x:v>
      </x:c>
      <x:c r="F21" t="str">
        <x:v>Fernanda</x:v>
      </x:c>
      <x:c r="G21" t="str">
        <x:v>Marketplace</x:v>
      </x:c>
      <x:c r="H21" s="14" t="n">
        <x:v>1</x:v>
      </x:c>
      <x:c r="I21" s="12" t="n">
        <x:v>56.9</x:v>
      </x:c>
      <x:c r="J21" s="12" t="n">
        <x:f>H21*I21</x:f>
        <x:v>56.9</x:v>
      </x:c>
    </x:row>
    <x:row r="22">
      <x:c r="A22" s="10" t="n">
        <x:v>45914</x:v>
      </x:c>
      <x:c r="B22" t="str">
        <x:v>Sep/2025</x:v>
      </x:c>
      <x:c r="C22" t="str">
        <x:v>Controle Xbox</x:v>
      </x:c>
      <x:c r="D22" t="str">
        <x:v>Acessório</x:v>
      </x:c>
      <x:c r="E22" t="str">
        <x:v>Centro-Oeste</x:v>
      </x:c>
      <x:c r="F22" t="str">
        <x:v>Fernanda</x:v>
      </x:c>
      <x:c r="G22" t="str">
        <x:v>E-commerce</x:v>
      </x:c>
      <x:c r="H22" s="14" t="n">
        <x:v>2</x:v>
      </x:c>
      <x:c r="I22" s="12" t="n">
        <x:v>399.9</x:v>
      </x:c>
      <x:c r="J22" s="12" t="n">
        <x:f>H22*I22</x:f>
        <x:v>799.8</x:v>
      </x:c>
    </x:row>
    <x:row r="23">
      <x:c r="A23" s="10" t="n">
        <x:v>45736</x:v>
      </x:c>
      <x:c r="B23" t="str">
        <x:v>Mar/2025</x:v>
      </x:c>
      <x:c r="C23" t="str">
        <x:v>Forza Horizon 5</x:v>
      </x:c>
      <x:c r="D23" t="str">
        <x:v>Jogo</x:v>
      </x:c>
      <x:c r="E23" t="str">
        <x:v>Norte</x:v>
      </x:c>
      <x:c r="F23" t="str">
        <x:v>Ana</x:v>
      </x:c>
      <x:c r="G23" t="str">
        <x:v>Marketplace</x:v>
      </x:c>
      <x:c r="H23" s="14" t="n">
        <x:v>3</x:v>
      </x:c>
      <x:c r="I23" s="12" t="n">
        <x:v>224.91</x:v>
      </x:c>
      <x:c r="J23" s="12" t="n">
        <x:f>H23*I23</x:f>
        <x:v>674.73</x:v>
      </x:c>
    </x:row>
    <x:row r="24">
      <x:c r="A24" s="10" t="n">
        <x:v>45908</x:v>
      </x:c>
      <x:c r="B24" t="str">
        <x:v>Sep/2025</x:v>
      </x:c>
      <x:c r="C24" t="str">
        <x:v>Xbox Series X</x:v>
      </x:c>
      <x:c r="D24" t="str">
        <x:v>Console</x:v>
      </x:c>
      <x:c r="E24" t="str">
        <x:v>Centro-Oeste</x:v>
      </x:c>
      <x:c r="F24" t="str">
        <x:v>Bruno</x:v>
      </x:c>
      <x:c r="G24" t="str">
        <x:v>Loja física</x:v>
      </x:c>
      <x:c r="H24" s="14" t="n">
        <x:v>1</x:v>
      </x:c>
      <x:c r="I24" s="12" t="n">
        <x:v>4499.9</x:v>
      </x:c>
      <x:c r="J24" s="12" t="n">
        <x:f>H24*I24</x:f>
        <x:v>4499.9</x:v>
      </x:c>
    </x:row>
    <x:row r="25">
      <x:c r="A25" s="10" t="n">
        <x:v>45781</x:v>
      </x:c>
      <x:c r="B25" t="str">
        <x:v>May/2025</x:v>
      </x:c>
      <x:c r="C25" t="str">
        <x:v>Xbox Series S</x:v>
      </x:c>
      <x:c r="D25" t="str">
        <x:v>Console</x:v>
      </x:c>
      <x:c r="E25" t="str">
        <x:v>Sul</x:v>
      </x:c>
      <x:c r="F25" t="str">
        <x:v>Eduardo</x:v>
      </x:c>
      <x:c r="G25" t="str">
        <x:v>E-commerce</x:v>
      </x:c>
      <x:c r="H25" s="14" t="n">
        <x:v>1</x:v>
      </x:c>
      <x:c r="I25" s="12" t="n">
        <x:v>2374.91</x:v>
      </x:c>
      <x:c r="J25" s="12" t="n">
        <x:f>H25*I25</x:f>
        <x:v>2374.91</x:v>
      </x:c>
    </x:row>
    <x:row r="26">
      <x:c r="A26" s="10" t="n">
        <x:v>45723</x:v>
      </x:c>
      <x:c r="B26" t="str">
        <x:v>Mar/2025</x:v>
      </x:c>
      <x:c r="C26" t="str">
        <x:v>Gift Card Xbox</x:v>
      </x:c>
      <x:c r="D26" t="str">
        <x:v>Gift Card</x:v>
      </x:c>
      <x:c r="E26" t="str">
        <x:v>Centro-Oeste</x:v>
      </x:c>
      <x:c r="F26" t="str">
        <x:v>Eduardo</x:v>
      </x:c>
      <x:c r="G26" t="str">
        <x:v>Televendas</x:v>
      </x:c>
      <x:c r="H26" s="14" t="n">
        <x:v>4</x:v>
      </x:c>
      <x:c r="I26" s="12" t="n">
        <x:v>100</x:v>
      </x:c>
      <x:c r="J26" s="12" t="n">
        <x:f>H26*I26</x:f>
        <x:v>400</x:v>
      </x:c>
    </x:row>
    <x:row r="27">
      <x:c r="A27" s="10" t="n">
        <x:v>45766</x:v>
      </x:c>
      <x:c r="B27" t="str">
        <x:v>Apr/2025</x:v>
      </x:c>
      <x:c r="C27" t="str">
        <x:v>Headset Xbox</x:v>
      </x:c>
      <x:c r="D27" t="str">
        <x:v>Acessório</x:v>
      </x:c>
      <x:c r="E27" t="str">
        <x:v>Centro-Oeste</x:v>
      </x:c>
      <x:c r="F27" t="str">
        <x:v>Daniela</x:v>
      </x:c>
      <x:c r="G27" t="str">
        <x:v>Televendas</x:v>
      </x:c>
      <x:c r="H27" s="14" t="n">
        <x:v>3</x:v>
      </x:c>
      <x:c r="I27" s="12" t="n">
        <x:v>284.9</x:v>
      </x:c>
      <x:c r="J27" s="12" t="n">
        <x:f>H27*I27</x:f>
        <x:v>854.6999999999999</x:v>
      </x:c>
    </x:row>
    <x:row r="28">
      <x:c r="A28" s="10" t="n">
        <x:v>45719</x:v>
      </x:c>
      <x:c r="B28" t="str">
        <x:v>Mar/2025</x:v>
      </x:c>
      <x:c r="C28" t="str">
        <x:v>Headset Xbox</x:v>
      </x:c>
      <x:c r="D28" t="str">
        <x:v>Acessório</x:v>
      </x:c>
      <x:c r="E28" t="str">
        <x:v>Sul</x:v>
      </x:c>
      <x:c r="F28" t="str">
        <x:v>Eduardo</x:v>
      </x:c>
      <x:c r="G28" t="str">
        <x:v>E-commerce</x:v>
      </x:c>
      <x:c r="H28" s="14" t="n">
        <x:v>1</x:v>
      </x:c>
      <x:c r="I28" s="12" t="n">
        <x:v>299.9</x:v>
      </x:c>
      <x:c r="J28" s="12" t="n">
        <x:f>H28*I28</x:f>
        <x:v>299.9</x:v>
      </x:c>
    </x:row>
    <x:row r="29">
      <x:c r="A29" s="10" t="n">
        <x:v>45959</x:v>
      </x:c>
      <x:c r="B29" t="str">
        <x:v>Oct/2025</x:v>
      </x:c>
      <x:c r="C29" t="str">
        <x:v>Headset Xbox</x:v>
      </x:c>
      <x:c r="D29" t="str">
        <x:v>Acessório</x:v>
      </x:c>
      <x:c r="E29" t="str">
        <x:v>Sudeste</x:v>
      </x:c>
      <x:c r="F29" t="str">
        <x:v>Ana</x:v>
      </x:c>
      <x:c r="G29" t="str">
        <x:v>Loja física</x:v>
      </x:c>
      <x:c r="H29" s="14" t="n">
        <x:v>1</x:v>
      </x:c>
      <x:c r="I29" s="12" t="n">
        <x:v>299.9</x:v>
      </x:c>
      <x:c r="J29" s="12" t="n">
        <x:f>H29*I29</x:f>
        <x:v>299.9</x:v>
      </x:c>
    </x:row>
    <x:row r="30">
      <x:c r="A30" s="10" t="n">
        <x:v>45827</x:v>
      </x:c>
      <x:c r="B30" t="str">
        <x:v>Jun/2025</x:v>
      </x:c>
      <x:c r="C30" t="str">
        <x:v>Xbox Series S</x:v>
      </x:c>
      <x:c r="D30" t="str">
        <x:v>Console</x:v>
      </x:c>
      <x:c r="E30" t="str">
        <x:v>Nordeste</x:v>
      </x:c>
      <x:c r="F30" t="str">
        <x:v>Bruno</x:v>
      </x:c>
      <x:c r="G30" t="str">
        <x:v>E-commerce</x:v>
      </x:c>
      <x:c r="H30" s="14" t="n">
        <x:v>2</x:v>
      </x:c>
      <x:c r="I30" s="12" t="n">
        <x:v>2499.9</x:v>
      </x:c>
      <x:c r="J30" s="12" t="n">
        <x:f>H30*I30</x:f>
        <x:v>4999.8</x:v>
      </x:c>
    </x:row>
    <x:row r="31">
      <x:c r="A31" s="10" t="n">
        <x:v>45950</x:v>
      </x:c>
      <x:c r="B31" t="str">
        <x:v>Oct/2025</x:v>
      </x:c>
      <x:c r="C31" t="str">
        <x:v>Gift Card Xbox</x:v>
      </x:c>
      <x:c r="D31" t="str">
        <x:v>Gift Card</x:v>
      </x:c>
      <x:c r="E31" t="str">
        <x:v>Nordeste</x:v>
      </x:c>
      <x:c r="F31" t="str">
        <x:v>Bruno</x:v>
      </x:c>
      <x:c r="G31" t="str">
        <x:v>Loja física</x:v>
      </x:c>
      <x:c r="H31" s="14" t="n">
        <x:v>1</x:v>
      </x:c>
      <x:c r="I31" s="12" t="n">
        <x:v>95</x:v>
      </x:c>
      <x:c r="J31" s="12" t="n">
        <x:f>H31*I31</x:f>
        <x:v>95</x:v>
      </x:c>
    </x:row>
    <x:row r="32">
      <x:c r="A32" s="10" t="n">
        <x:v>45707</x:v>
      </x:c>
      <x:c r="B32" t="str">
        <x:v>Feb/2025</x:v>
      </x:c>
      <x:c r="C32" t="str">
        <x:v>Halo Infinite</x:v>
      </x:c>
      <x:c r="D32" t="str">
        <x:v>Jogo</x:v>
      </x:c>
      <x:c r="E32" t="str">
        <x:v>Nordeste</x:v>
      </x:c>
      <x:c r="F32" t="str">
        <x:v>Fernanda</x:v>
      </x:c>
      <x:c r="G32" t="str">
        <x:v>Loja física</x:v>
      </x:c>
      <x:c r="H32" s="14" t="n">
        <x:v>1</x:v>
      </x:c>
      <x:c r="I32" s="12" t="n">
        <x:v>189.91</x:v>
      </x:c>
      <x:c r="J32" s="12" t="n">
        <x:f>H32*I32</x:f>
        <x:v>189.91</x:v>
      </x:c>
    </x:row>
    <x:row r="33">
      <x:c r="A33" s="10" t="n">
        <x:v>46002</x:v>
      </x:c>
      <x:c r="B33" t="str">
        <x:v>Dec/2025</x:v>
      </x:c>
      <x:c r="C33" t="str">
        <x:v>Xbox Series S</x:v>
      </x:c>
      <x:c r="D33" t="str">
        <x:v>Console</x:v>
      </x:c>
      <x:c r="E33" t="str">
        <x:v>Sul</x:v>
      </x:c>
      <x:c r="F33" t="str">
        <x:v>Bruno</x:v>
      </x:c>
      <x:c r="G33" t="str">
        <x:v>E-commerce</x:v>
      </x:c>
      <x:c r="H33" s="14" t="n">
        <x:v>1</x:v>
      </x:c>
      <x:c r="I33" s="12" t="n">
        <x:v>2499.9</x:v>
      </x:c>
      <x:c r="J33" s="12" t="n">
        <x:f>H33*I33</x:f>
        <x:v>2499.9</x:v>
      </x:c>
    </x:row>
    <x:row r="34">
      <x:c r="A34" s="10" t="n">
        <x:v>45755</x:v>
      </x:c>
      <x:c r="B34" t="str">
        <x:v>Apr/2025</x:v>
      </x:c>
      <x:c r="C34" t="str">
        <x:v>Gift Card Xbox</x:v>
      </x:c>
      <x:c r="D34" t="str">
        <x:v>Gift Card</x:v>
      </x:c>
      <x:c r="E34" t="str">
        <x:v>Centro-Oeste</x:v>
      </x:c>
      <x:c r="F34" t="str">
        <x:v>Daniela</x:v>
      </x:c>
      <x:c r="G34" t="str">
        <x:v>E-commerce</x:v>
      </x:c>
      <x:c r="H34" s="14" t="n">
        <x:v>1</x:v>
      </x:c>
      <x:c r="I34" s="12" t="n">
        <x:v>100</x:v>
      </x:c>
      <x:c r="J34" s="12" t="n">
        <x:f>H34*I34</x:f>
        <x:v>100</x:v>
      </x:c>
    </x:row>
    <x:row r="35">
      <x:c r="A35" s="10" t="n">
        <x:v>45696</x:v>
      </x:c>
      <x:c r="B35" t="str">
        <x:v>Feb/2025</x:v>
      </x:c>
      <x:c r="C35" t="str">
        <x:v>Gift Card Xbox</x:v>
      </x:c>
      <x:c r="D35" t="str">
        <x:v>Gift Card</x:v>
      </x:c>
      <x:c r="E35" t="str">
        <x:v>Sul</x:v>
      </x:c>
      <x:c r="F35" t="str">
        <x:v>Ana</x:v>
      </x:c>
      <x:c r="G35" t="str">
        <x:v>Loja física</x:v>
      </x:c>
      <x:c r="H35" s="14" t="n">
        <x:v>3</x:v>
      </x:c>
      <x:c r="I35" s="12" t="n">
        <x:v>90</x:v>
      </x:c>
      <x:c r="J35" s="12" t="n">
        <x:f>H35*I35</x:f>
        <x:v>270</x:v>
      </x:c>
    </x:row>
    <x:row r="36">
      <x:c r="A36" s="10" t="n">
        <x:v>45705</x:v>
      </x:c>
      <x:c r="B36" t="str">
        <x:v>Feb/2025</x:v>
      </x:c>
      <x:c r="C36" t="str">
        <x:v>Headset Xbox</x:v>
      </x:c>
      <x:c r="D36" t="str">
        <x:v>Acessório</x:v>
      </x:c>
      <x:c r="E36" t="str">
        <x:v>Nordeste</x:v>
      </x:c>
      <x:c r="F36" t="str">
        <x:v>Bruno</x:v>
      </x:c>
      <x:c r="G36" t="str">
        <x:v>Televendas</x:v>
      </x:c>
      <x:c r="H36" s="14" t="n">
        <x:v>1</x:v>
      </x:c>
      <x:c r="I36" s="12" t="n">
        <x:v>284.9</x:v>
      </x:c>
      <x:c r="J36" s="12" t="n">
        <x:f>H36*I36</x:f>
        <x:v>284.9</x:v>
      </x:c>
    </x:row>
    <x:row r="37">
      <x:c r="A37" s="10" t="n">
        <x:v>45688</x:v>
      </x:c>
      <x:c r="B37" t="str">
        <x:v>Jan/2025</x:v>
      </x:c>
      <x:c r="C37" t="str">
        <x:v>Controle Xbox</x:v>
      </x:c>
      <x:c r="D37" t="str">
        <x:v>Acessório</x:v>
      </x:c>
      <x:c r="E37" t="str">
        <x:v>Centro-Oeste</x:v>
      </x:c>
      <x:c r="F37" t="str">
        <x:v>Daniela</x:v>
      </x:c>
      <x:c r="G37" t="str">
        <x:v>Marketplace</x:v>
      </x:c>
      <x:c r="H37" s="14" t="n">
        <x:v>1</x:v>
      </x:c>
      <x:c r="I37" s="12" t="n">
        <x:v>379.9</x:v>
      </x:c>
      <x:c r="J37" s="12" t="n">
        <x:f>H37*I37</x:f>
        <x:v>379.9</x:v>
      </x:c>
    </x:row>
    <x:row r="38">
      <x:c r="A38" s="10" t="n">
        <x:v>45874</x:v>
      </x:c>
      <x:c r="B38" t="str">
        <x:v>Aug/2025</x:v>
      </x:c>
      <x:c r="C38" t="str">
        <x:v>Gift Card Xbox</x:v>
      </x:c>
      <x:c r="D38" t="str">
        <x:v>Gift Card</x:v>
      </x:c>
      <x:c r="E38" t="str">
        <x:v>Sudeste</x:v>
      </x:c>
      <x:c r="F38" t="str">
        <x:v>Ana</x:v>
      </x:c>
      <x:c r="G38" t="str">
        <x:v>Loja física</x:v>
      </x:c>
      <x:c r="H38" s="14" t="n">
        <x:v>1</x:v>
      </x:c>
      <x:c r="I38" s="12" t="n">
        <x:v>100</x:v>
      </x:c>
      <x:c r="J38" s="12" t="n">
        <x:f>H38*I38</x:f>
        <x:v>100</x:v>
      </x:c>
    </x:row>
    <x:row r="39">
      <x:c r="A39" s="10" t="n">
        <x:v>45818</x:v>
      </x:c>
      <x:c r="B39" t="str">
        <x:v>Jun/2025</x:v>
      </x:c>
      <x:c r="C39" t="str">
        <x:v>Xbox Series X</x:v>
      </x:c>
      <x:c r="D39" t="str">
        <x:v>Console</x:v>
      </x:c>
      <x:c r="E39" t="str">
        <x:v>Norte</x:v>
      </x:c>
      <x:c r="F39" t="str">
        <x:v>Eduardo</x:v>
      </x:c>
      <x:c r="G39" t="str">
        <x:v>E-commerce</x:v>
      </x:c>
      <x:c r="H39" s="14" t="n">
        <x:v>1</x:v>
      </x:c>
      <x:c r="I39" s="12" t="n">
        <x:v>4274.9</x:v>
      </x:c>
      <x:c r="J39" s="12" t="n">
        <x:f>H39*I39</x:f>
        <x:v>4274.9</x:v>
      </x:c>
    </x:row>
    <x:row r="40">
      <x:c r="A40" s="10" t="n">
        <x:v>45687</x:v>
      </x:c>
      <x:c r="B40" t="str">
        <x:v>Jan/2025</x:v>
      </x:c>
      <x:c r="C40" t="str">
        <x:v>Xbox Series S</x:v>
      </x:c>
      <x:c r="D40" t="str">
        <x:v>Console</x:v>
      </x:c>
      <x:c r="E40" t="str">
        <x:v>Norte</x:v>
      </x:c>
      <x:c r="F40" t="str">
        <x:v>Ana</x:v>
      </x:c>
      <x:c r="G40" t="str">
        <x:v>E-commerce</x:v>
      </x:c>
      <x:c r="H40" s="14" t="n">
        <x:v>4</x:v>
      </x:c>
      <x:c r="I40" s="12" t="n">
        <x:v>2499.9</x:v>
      </x:c>
      <x:c r="J40" s="12" t="n">
        <x:f>H40*I40</x:f>
        <x:v>9999.6</x:v>
      </x:c>
    </x:row>
    <x:row r="41">
      <x:c r="A41" s="10" t="n">
        <x:v>45864</x:v>
      </x:c>
      <x:c r="B41" t="str">
        <x:v>Jul/2025</x:v>
      </x:c>
      <x:c r="C41" t="str">
        <x:v>Xbox Series S</x:v>
      </x:c>
      <x:c r="D41" t="str">
        <x:v>Console</x:v>
      </x:c>
      <x:c r="E41" t="str">
        <x:v>Sudeste</x:v>
      </x:c>
      <x:c r="F41" t="str">
        <x:v>Eduardo</x:v>
      </x:c>
      <x:c r="G41" t="str">
        <x:v>Loja física</x:v>
      </x:c>
      <x:c r="H41" s="14" t="n">
        <x:v>4</x:v>
      </x:c>
      <x:c r="I41" s="12" t="n">
        <x:v>2249.91</x:v>
      </x:c>
      <x:c r="J41" s="12" t="n">
        <x:f>H41*I41</x:f>
        <x:v>8999.64</x:v>
      </x:c>
    </x:row>
    <x:row r="42">
      <x:c r="A42" s="10" t="n">
        <x:v>45975</x:v>
      </x:c>
      <x:c r="B42" t="str">
        <x:v>Nov/2025</x:v>
      </x:c>
      <x:c r="C42" t="str">
        <x:v>Xbox Series S</x:v>
      </x:c>
      <x:c r="D42" t="str">
        <x:v>Console</x:v>
      </x:c>
      <x:c r="E42" t="str">
        <x:v>Norte</x:v>
      </x:c>
      <x:c r="F42" t="str">
        <x:v>Eduardo</x:v>
      </x:c>
      <x:c r="G42" t="str">
        <x:v>Marketplace</x:v>
      </x:c>
      <x:c r="H42" s="14" t="n">
        <x:v>1</x:v>
      </x:c>
      <x:c r="I42" s="12" t="n">
        <x:v>2249.91</x:v>
      </x:c>
      <x:c r="J42" s="12" t="n">
        <x:f>H42*I42</x:f>
        <x:v>2249.91</x:v>
      </x:c>
    </x:row>
    <x:row r="43">
      <x:c r="A43" s="10" t="n">
        <x:v>45791</x:v>
      </x:c>
      <x:c r="B43" t="str">
        <x:v>May/2025</x:v>
      </x:c>
      <x:c r="C43" t="str">
        <x:v>Headset Xbox</x:v>
      </x:c>
      <x:c r="D43" t="str">
        <x:v>Acessório</x:v>
      </x:c>
      <x:c r="E43" t="str">
        <x:v>Sudeste</x:v>
      </x:c>
      <x:c r="F43" t="str">
        <x:v>Carlos</x:v>
      </x:c>
      <x:c r="G43" t="str">
        <x:v>Televendas</x:v>
      </x:c>
      <x:c r="H43" s="14" t="n">
        <x:v>2</x:v>
      </x:c>
      <x:c r="I43" s="12" t="n">
        <x:v>299.9</x:v>
      </x:c>
      <x:c r="J43" s="12" t="n">
        <x:f>H43*I43</x:f>
        <x:v>599.8</x:v>
      </x:c>
    </x:row>
    <x:row r="44">
      <x:c r="A44" s="10" t="n">
        <x:v>45725</x:v>
      </x:c>
      <x:c r="B44" t="str">
        <x:v>Mar/2025</x:v>
      </x:c>
      <x:c r="C44" t="str">
        <x:v>Game Pass Ultimate</x:v>
      </x:c>
      <x:c r="D44" t="str">
        <x:v>Assinatura</x:v>
      </x:c>
      <x:c r="E44" t="str">
        <x:v>Sul</x:v>
      </x:c>
      <x:c r="F44" t="str">
        <x:v>Daniela</x:v>
      </x:c>
      <x:c r="G44" t="str">
        <x:v>Loja física</x:v>
      </x:c>
      <x:c r="H44" s="14" t="n">
        <x:v>2</x:v>
      </x:c>
      <x:c r="I44" s="12" t="n">
        <x:v>59.9</x:v>
      </x:c>
      <x:c r="J44" s="12" t="n">
        <x:f>H44*I44</x:f>
        <x:v>119.8</x:v>
      </x:c>
    </x:row>
    <x:row r="45">
      <x:c r="A45" s="10" t="n">
        <x:v>45695</x:v>
      </x:c>
      <x:c r="B45" t="str">
        <x:v>Feb/2025</x:v>
      </x:c>
      <x:c r="C45" t="str">
        <x:v>Headset Xbox</x:v>
      </x:c>
      <x:c r="D45" t="str">
        <x:v>Acessório</x:v>
      </x:c>
      <x:c r="E45" t="str">
        <x:v>Centro-Oeste</x:v>
      </x:c>
      <x:c r="F45" t="str">
        <x:v>Ana</x:v>
      </x:c>
      <x:c r="G45" t="str">
        <x:v>E-commerce</x:v>
      </x:c>
      <x:c r="H45" s="14" t="n">
        <x:v>2</x:v>
      </x:c>
      <x:c r="I45" s="12" t="n">
        <x:v>299.9</x:v>
      </x:c>
      <x:c r="J45" s="12" t="n">
        <x:f>H45*I45</x:f>
        <x:v>599.8</x:v>
      </x:c>
    </x:row>
    <x:row r="46">
      <x:c r="A46" s="10" t="n">
        <x:v>45847</x:v>
      </x:c>
      <x:c r="B46" t="str">
        <x:v>Jul/2025</x:v>
      </x:c>
      <x:c r="C46" t="str">
        <x:v>Game Pass Ultimate</x:v>
      </x:c>
      <x:c r="D46" t="str">
        <x:v>Assinatura</x:v>
      </x:c>
      <x:c r="E46" t="str">
        <x:v>Centro-Oeste</x:v>
      </x:c>
      <x:c r="F46" t="str">
        <x:v>Eduardo</x:v>
      </x:c>
      <x:c r="G46" t="str">
        <x:v>Loja física</x:v>
      </x:c>
      <x:c r="H46" s="14" t="n">
        <x:v>1</x:v>
      </x:c>
      <x:c r="I46" s="12" t="n">
        <x:v>53.91</x:v>
      </x:c>
      <x:c r="J46" s="12" t="n">
        <x:f>H46*I46</x:f>
        <x:v>53.91</x:v>
      </x:c>
    </x:row>
    <x:row r="47">
      <x:c r="A47" s="10" t="n">
        <x:v>45999</x:v>
      </x:c>
      <x:c r="B47" t="str">
        <x:v>Dec/2025</x:v>
      </x:c>
      <x:c r="C47" t="str">
        <x:v>Game Pass Ultimate</x:v>
      </x:c>
      <x:c r="D47" t="str">
        <x:v>Assinatura</x:v>
      </x:c>
      <x:c r="E47" t="str">
        <x:v>Sudeste</x:v>
      </x:c>
      <x:c r="F47" t="str">
        <x:v>Carlos</x:v>
      </x:c>
      <x:c r="G47" t="str">
        <x:v>Loja física</x:v>
      </x:c>
      <x:c r="H47" s="14" t="n">
        <x:v>4</x:v>
      </x:c>
      <x:c r="I47" s="12" t="n">
        <x:v>59.9</x:v>
      </x:c>
      <x:c r="J47" s="12" t="n">
        <x:f>H47*I47</x:f>
        <x:v>239.6</x:v>
      </x:c>
    </x:row>
    <x:row r="48">
      <x:c r="A48" s="10" t="n">
        <x:v>45712</x:v>
      </x:c>
      <x:c r="B48" t="str">
        <x:v>Feb/2025</x:v>
      </x:c>
      <x:c r="C48" t="str">
        <x:v>Controle Xbox</x:v>
      </x:c>
      <x:c r="D48" t="str">
        <x:v>Acessório</x:v>
      </x:c>
      <x:c r="E48" t="str">
        <x:v>Sudeste</x:v>
      </x:c>
      <x:c r="F48" t="str">
        <x:v>Fernanda</x:v>
      </x:c>
      <x:c r="G48" t="str">
        <x:v>Marketplace</x:v>
      </x:c>
      <x:c r="H48" s="14" t="n">
        <x:v>1</x:v>
      </x:c>
      <x:c r="I48" s="12" t="n">
        <x:v>359.91</x:v>
      </x:c>
      <x:c r="J48" s="12" t="n">
        <x:f>H48*I48</x:f>
        <x:v>359.91</x:v>
      </x:c>
    </x:row>
    <x:row r="49">
      <x:c r="A49" s="10" t="n">
        <x:v>45762</x:v>
      </x:c>
      <x:c r="B49" t="str">
        <x:v>Apr/2025</x:v>
      </x:c>
      <x:c r="C49" t="str">
        <x:v>Game Pass Ultimate</x:v>
      </x:c>
      <x:c r="D49" t="str">
        <x:v>Assinatura</x:v>
      </x:c>
      <x:c r="E49" t="str">
        <x:v>Sul</x:v>
      </x:c>
      <x:c r="F49" t="str">
        <x:v>Ana</x:v>
      </x:c>
      <x:c r="G49" t="str">
        <x:v>Televendas</x:v>
      </x:c>
      <x:c r="H49" s="14" t="n">
        <x:v>2</x:v>
      </x:c>
      <x:c r="I49" s="12" t="n">
        <x:v>59.9</x:v>
      </x:c>
      <x:c r="J49" s="12" t="n">
        <x:f>H49*I49</x:f>
        <x:v>119.8</x:v>
      </x:c>
    </x:row>
    <x:row r="50">
      <x:c r="A50" s="10" t="n">
        <x:v>45799</x:v>
      </x:c>
      <x:c r="B50" t="str">
        <x:v>May/2025</x:v>
      </x:c>
      <x:c r="C50" t="str">
        <x:v>Xbox Series X</x:v>
      </x:c>
      <x:c r="D50" t="str">
        <x:v>Console</x:v>
      </x:c>
      <x:c r="E50" t="str">
        <x:v>Centro-Oeste</x:v>
      </x:c>
      <x:c r="F50" t="str">
        <x:v>Bruno</x:v>
      </x:c>
      <x:c r="G50" t="str">
        <x:v>Televendas</x:v>
      </x:c>
      <x:c r="H50" s="14" t="n">
        <x:v>1</x:v>
      </x:c>
      <x:c r="I50" s="12" t="n">
        <x:v>4499.9</x:v>
      </x:c>
      <x:c r="J50" s="12" t="n">
        <x:f>H50*I50</x:f>
        <x:v>4499.9</x:v>
      </x:c>
    </x:row>
    <x:row r="51">
      <x:c r="A51" s="10" t="n">
        <x:v>45940</x:v>
      </x:c>
      <x:c r="B51" t="str">
        <x:v>Oct/2025</x:v>
      </x:c>
      <x:c r="C51" t="str">
        <x:v>Halo Infinite</x:v>
      </x:c>
      <x:c r="D51" t="str">
        <x:v>Jogo</x:v>
      </x:c>
      <x:c r="E51" t="str">
        <x:v>Sul</x:v>
      </x:c>
      <x:c r="F51" t="str">
        <x:v>Fernanda</x:v>
      </x:c>
      <x:c r="G51" t="str">
        <x:v>E-commerce</x:v>
      </x:c>
      <x:c r="H51" s="14" t="n">
        <x:v>2</x:v>
      </x:c>
      <x:c r="I51" s="12" t="n">
        <x:v>199.9</x:v>
      </x:c>
      <x:c r="J51" s="12" t="n">
        <x:f>H51*I51</x:f>
        <x:v>399.8</x:v>
      </x:c>
    </x:row>
    <x:row r="52">
      <x:c r="A52" s="10" t="n">
        <x:v>45937</x:v>
      </x:c>
      <x:c r="B52" t="str">
        <x:v>Oct/2025</x:v>
      </x:c>
      <x:c r="C52" t="str">
        <x:v>Xbox Series X</x:v>
      </x:c>
      <x:c r="D52" t="str">
        <x:v>Console</x:v>
      </x:c>
      <x:c r="E52" t="str">
        <x:v>Norte</x:v>
      </x:c>
      <x:c r="F52" t="str">
        <x:v>Bruno</x:v>
      </x:c>
      <x:c r="G52" t="str">
        <x:v>Televendas</x:v>
      </x:c>
      <x:c r="H52" s="14" t="n">
        <x:v>3</x:v>
      </x:c>
      <x:c r="I52" s="12" t="n">
        <x:v>4049.91</x:v>
      </x:c>
      <x:c r="J52" s="12" t="n">
        <x:f>H52*I52</x:f>
        <x:v>12149.73</x:v>
      </x:c>
    </x:row>
    <x:row r="53">
      <x:c r="A53" s="10" t="n">
        <x:v>45723</x:v>
      </x:c>
      <x:c r="B53" t="str">
        <x:v>Mar/2025</x:v>
      </x:c>
      <x:c r="C53" t="str">
        <x:v>Xbox Series X</x:v>
      </x:c>
      <x:c r="D53" t="str">
        <x:v>Console</x:v>
      </x:c>
      <x:c r="E53" t="str">
        <x:v>Centro-Oeste</x:v>
      </x:c>
      <x:c r="F53" t="str">
        <x:v>Bruno</x:v>
      </x:c>
      <x:c r="G53" t="str">
        <x:v>E-commerce</x:v>
      </x:c>
      <x:c r="H53" s="14" t="n">
        <x:v>1</x:v>
      </x:c>
      <x:c r="I53" s="12" t="n">
        <x:v>4499.9</x:v>
      </x:c>
      <x:c r="J53" s="12" t="n">
        <x:f>H53*I53</x:f>
        <x:v>4499.9</x:v>
      </x:c>
    </x:row>
    <x:row r="54">
      <x:c r="A54" s="10" t="n">
        <x:v>45999</x:v>
      </x:c>
      <x:c r="B54" t="str">
        <x:v>Dec/2025</x:v>
      </x:c>
      <x:c r="C54" t="str">
        <x:v>Xbox Series S</x:v>
      </x:c>
      <x:c r="D54" t="str">
        <x:v>Console</x:v>
      </x:c>
      <x:c r="E54" t="str">
        <x:v>Nordeste</x:v>
      </x:c>
      <x:c r="F54" t="str">
        <x:v>Eduardo</x:v>
      </x:c>
      <x:c r="G54" t="str">
        <x:v>E-commerce</x:v>
      </x:c>
      <x:c r="H54" s="14" t="n">
        <x:v>1</x:v>
      </x:c>
      <x:c r="I54" s="12" t="n">
        <x:v>2249.91</x:v>
      </x:c>
      <x:c r="J54" s="12" t="n">
        <x:f>H54*I54</x:f>
        <x:v>2249.91</x:v>
      </x:c>
    </x:row>
    <x:row r="55">
      <x:c r="A55" s="10" t="n">
        <x:v>45779</x:v>
      </x:c>
      <x:c r="B55" t="str">
        <x:v>May/2025</x:v>
      </x:c>
      <x:c r="C55" t="str">
        <x:v>Controle Xbox</x:v>
      </x:c>
      <x:c r="D55" t="str">
        <x:v>Acessório</x:v>
      </x:c>
      <x:c r="E55" t="str">
        <x:v>Nordeste</x:v>
      </x:c>
      <x:c r="F55" t="str">
        <x:v>Ana</x:v>
      </x:c>
      <x:c r="G55" t="str">
        <x:v>E-commerce</x:v>
      </x:c>
      <x:c r="H55" s="14" t="n">
        <x:v>5</x:v>
      </x:c>
      <x:c r="I55" s="12" t="n">
        <x:v>399.9</x:v>
      </x:c>
      <x:c r="J55" s="12" t="n">
        <x:f>H55*I55</x:f>
        <x:v>1999.5</x:v>
      </x:c>
    </x:row>
    <x:row r="56">
      <x:c r="A56" s="10" t="n">
        <x:v>45828</x:v>
      </x:c>
      <x:c r="B56" t="str">
        <x:v>Jun/2025</x:v>
      </x:c>
      <x:c r="C56" t="str">
        <x:v>Halo Infinite</x:v>
      </x:c>
      <x:c r="D56" t="str">
        <x:v>Jogo</x:v>
      </x:c>
      <x:c r="E56" t="str">
        <x:v>Centro-Oeste</x:v>
      </x:c>
      <x:c r="F56" t="str">
        <x:v>Bruno</x:v>
      </x:c>
      <x:c r="G56" t="str">
        <x:v>Loja física</x:v>
      </x:c>
      <x:c r="H56" s="14" t="n">
        <x:v>3</x:v>
      </x:c>
      <x:c r="I56" s="12" t="n">
        <x:v>199.9</x:v>
      </x:c>
      <x:c r="J56" s="12" t="n">
        <x:f>H56*I56</x:f>
        <x:v>599.7</x:v>
      </x:c>
    </x:row>
    <x:row r="57">
      <x:c r="A57" s="10" t="n">
        <x:v>45853</x:v>
      </x:c>
      <x:c r="B57" t="str">
        <x:v>Jul/2025</x:v>
      </x:c>
      <x:c r="C57" t="str">
        <x:v>Xbox Series X</x:v>
      </x:c>
      <x:c r="D57" t="str">
        <x:v>Console</x:v>
      </x:c>
      <x:c r="E57" t="str">
        <x:v>Sudeste</x:v>
      </x:c>
      <x:c r="F57" t="str">
        <x:v>Daniela</x:v>
      </x:c>
      <x:c r="G57" t="str">
        <x:v>Marketplace</x:v>
      </x:c>
      <x:c r="H57" s="14" t="n">
        <x:v>4</x:v>
      </x:c>
      <x:c r="I57" s="12" t="n">
        <x:v>4499.9</x:v>
      </x:c>
      <x:c r="J57" s="12" t="n">
        <x:f>H57*I57</x:f>
        <x:v>17999.6</x:v>
      </x:c>
    </x:row>
    <x:row r="58">
      <x:c r="A58" s="10" t="n">
        <x:v>45814</x:v>
      </x:c>
      <x:c r="B58" t="str">
        <x:v>Jun/2025</x:v>
      </x:c>
      <x:c r="C58" t="str">
        <x:v>Headset Xbox</x:v>
      </x:c>
      <x:c r="D58" t="str">
        <x:v>Acessório</x:v>
      </x:c>
      <x:c r="E58" t="str">
        <x:v>Nordeste</x:v>
      </x:c>
      <x:c r="F58" t="str">
        <x:v>Carlos</x:v>
      </x:c>
      <x:c r="G58" t="str">
        <x:v>Marketplace</x:v>
      </x:c>
      <x:c r="H58" s="14" t="n">
        <x:v>1</x:v>
      </x:c>
      <x:c r="I58" s="12" t="n">
        <x:v>299.9</x:v>
      </x:c>
      <x:c r="J58" s="12" t="n">
        <x:f>H58*I58</x:f>
        <x:v>299.9</x:v>
      </x:c>
    </x:row>
    <x:row r="59">
      <x:c r="A59" s="10" t="n">
        <x:v>45693</x:v>
      </x:c>
      <x:c r="B59" t="str">
        <x:v>Feb/2025</x:v>
      </x:c>
      <x:c r="C59" t="str">
        <x:v>Game Pass Ultimate</x:v>
      </x:c>
      <x:c r="D59" t="str">
        <x:v>Assinatura</x:v>
      </x:c>
      <x:c r="E59" t="str">
        <x:v>Nordeste</x:v>
      </x:c>
      <x:c r="F59" t="str">
        <x:v>Fernanda</x:v>
      </x:c>
      <x:c r="G59" t="str">
        <x:v>Marketplace</x:v>
      </x:c>
      <x:c r="H59" s="14" t="n">
        <x:v>1</x:v>
      </x:c>
      <x:c r="I59" s="12" t="n">
        <x:v>53.91</x:v>
      </x:c>
      <x:c r="J59" s="12" t="n">
        <x:f>H59*I59</x:f>
        <x:v>53.91</x:v>
      </x:c>
    </x:row>
    <x:row r="60">
      <x:c r="A60" s="10" t="n">
        <x:v>45672</x:v>
      </x:c>
      <x:c r="B60" t="str">
        <x:v>Jan/2025</x:v>
      </x:c>
      <x:c r="C60" t="str">
        <x:v>Xbox Series S</x:v>
      </x:c>
      <x:c r="D60" t="str">
        <x:v>Console</x:v>
      </x:c>
      <x:c r="E60" t="str">
        <x:v>Sudeste</x:v>
      </x:c>
      <x:c r="F60" t="str">
        <x:v>Eduardo</x:v>
      </x:c>
      <x:c r="G60" t="str">
        <x:v>Marketplace</x:v>
      </x:c>
      <x:c r="H60" s="14" t="n">
        <x:v>4</x:v>
      </x:c>
      <x:c r="I60" s="12" t="n">
        <x:v>2499.9</x:v>
      </x:c>
      <x:c r="J60" s="12" t="n">
        <x:f>H60*I60</x:f>
        <x:v>9999.6</x:v>
      </x:c>
    </x:row>
    <x:row r="61">
      <x:c r="A61" s="10" t="n">
        <x:v>45677</x:v>
      </x:c>
      <x:c r="B61" t="str">
        <x:v>Jan/2025</x:v>
      </x:c>
      <x:c r="C61" t="str">
        <x:v>Xbox Series S</x:v>
      </x:c>
      <x:c r="D61" t="str">
        <x:v>Console</x:v>
      </x:c>
      <x:c r="E61" t="str">
        <x:v>Centro-Oeste</x:v>
      </x:c>
      <x:c r="F61" t="str">
        <x:v>Daniela</x:v>
      </x:c>
      <x:c r="G61" t="str">
        <x:v>Loja física</x:v>
      </x:c>
      <x:c r="H61" s="14" t="n">
        <x:v>2</x:v>
      </x:c>
      <x:c r="I61" s="12" t="n">
        <x:v>2499.9</x:v>
      </x:c>
      <x:c r="J61" s="12" t="n">
        <x:f>H61*I61</x:f>
        <x:v>4999.8</x:v>
      </x:c>
    </x:row>
    <x:row r="62">
      <x:c r="A62" s="10" t="n">
        <x:v>45855</x:v>
      </x:c>
      <x:c r="B62" t="str">
        <x:v>Jul/2025</x:v>
      </x:c>
      <x:c r="C62" t="str">
        <x:v>Headset Xbox</x:v>
      </x:c>
      <x:c r="D62" t="str">
        <x:v>Acessório</x:v>
      </x:c>
      <x:c r="E62" t="str">
        <x:v>Sul</x:v>
      </x:c>
      <x:c r="F62" t="str">
        <x:v>Eduardo</x:v>
      </x:c>
      <x:c r="G62" t="str">
        <x:v>E-commerce</x:v>
      </x:c>
      <x:c r="H62" s="14" t="n">
        <x:v>1</x:v>
      </x:c>
      <x:c r="I62" s="12" t="n">
        <x:v>284.9</x:v>
      </x:c>
      <x:c r="J62" s="12" t="n">
        <x:f>H62*I62</x:f>
        <x:v>284.9</x:v>
      </x:c>
    </x:row>
    <x:row r="63">
      <x:c r="A63" s="10" t="n">
        <x:v>45844</x:v>
      </x:c>
      <x:c r="B63" t="str">
        <x:v>Jul/2025</x:v>
      </x:c>
      <x:c r="C63" t="str">
        <x:v>Halo Infinite</x:v>
      </x:c>
      <x:c r="D63" t="str">
        <x:v>Jogo</x:v>
      </x:c>
      <x:c r="E63" t="str">
        <x:v>Norte</x:v>
      </x:c>
      <x:c r="F63" t="str">
        <x:v>Carlos</x:v>
      </x:c>
      <x:c r="G63" t="str">
        <x:v>Loja física</x:v>
      </x:c>
      <x:c r="H63" s="14" t="n">
        <x:v>1</x:v>
      </x:c>
      <x:c r="I63" s="12" t="n">
        <x:v>199.9</x:v>
      </x:c>
      <x:c r="J63" s="12" t="n">
        <x:f>H63*I63</x:f>
        <x:v>199.9</x:v>
      </x:c>
    </x:row>
    <x:row r="64">
      <x:c r="A64" s="10" t="n">
        <x:v>45811</x:v>
      </x:c>
      <x:c r="B64" t="str">
        <x:v>Jun/2025</x:v>
      </x:c>
      <x:c r="C64" t="str">
        <x:v>Game Pass Ultimate</x:v>
      </x:c>
      <x:c r="D64" t="str">
        <x:v>Assinatura</x:v>
      </x:c>
      <x:c r="E64" t="str">
        <x:v>Nordeste</x:v>
      </x:c>
      <x:c r="F64" t="str">
        <x:v>Fernanda</x:v>
      </x:c>
      <x:c r="G64" t="str">
        <x:v>Marketplace</x:v>
      </x:c>
      <x:c r="H64" s="14" t="n">
        <x:v>2</x:v>
      </x:c>
      <x:c r="I64" s="12" t="n">
        <x:v>59.9</x:v>
      </x:c>
      <x:c r="J64" s="12" t="n">
        <x:f>H64*I64</x:f>
        <x:v>119.8</x:v>
      </x:c>
    </x:row>
    <x:row r="65">
      <x:c r="A65" s="10" t="n">
        <x:v>45941</x:v>
      </x:c>
      <x:c r="B65" t="str">
        <x:v>Oct/2025</x:v>
      </x:c>
      <x:c r="C65" t="str">
        <x:v>Controle Xbox</x:v>
      </x:c>
      <x:c r="D65" t="str">
        <x:v>Acessório</x:v>
      </x:c>
      <x:c r="E65" t="str">
        <x:v>Sudeste</x:v>
      </x:c>
      <x:c r="F65" t="str">
        <x:v>Eduardo</x:v>
      </x:c>
      <x:c r="G65" t="str">
        <x:v>Marketplace</x:v>
      </x:c>
      <x:c r="H65" s="14" t="n">
        <x:v>1</x:v>
      </x:c>
      <x:c r="I65" s="12" t="n">
        <x:v>379.9</x:v>
      </x:c>
      <x:c r="J65" s="12" t="n">
        <x:f>H65*I65</x:f>
        <x:v>379.9</x:v>
      </x:c>
    </x:row>
    <x:row r="66">
      <x:c r="A66" s="10" t="n">
        <x:v>45865</x:v>
      </x:c>
      <x:c r="B66" t="str">
        <x:v>Jul/2025</x:v>
      </x:c>
      <x:c r="C66" t="str">
        <x:v>Xbox Series X</x:v>
      </x:c>
      <x:c r="D66" t="str">
        <x:v>Console</x:v>
      </x:c>
      <x:c r="E66" t="str">
        <x:v>Nordeste</x:v>
      </x:c>
      <x:c r="F66" t="str">
        <x:v>Eduardo</x:v>
      </x:c>
      <x:c r="G66" t="str">
        <x:v>Marketplace</x:v>
      </x:c>
      <x:c r="H66" s="14" t="n">
        <x:v>1</x:v>
      </x:c>
      <x:c r="I66" s="12" t="n">
        <x:v>4499.9</x:v>
      </x:c>
      <x:c r="J66" s="12" t="n">
        <x:f>H66*I66</x:f>
        <x:v>4499.9</x:v>
      </x:c>
    </x:row>
    <x:row r="67">
      <x:c r="A67" s="10" t="n">
        <x:v>45896</x:v>
      </x:c>
      <x:c r="B67" t="str">
        <x:v>Aug/2025</x:v>
      </x:c>
      <x:c r="C67" t="str">
        <x:v>Gift Card Xbox</x:v>
      </x:c>
      <x:c r="D67" t="str">
        <x:v>Gift Card</x:v>
      </x:c>
      <x:c r="E67" t="str">
        <x:v>Norte</x:v>
      </x:c>
      <x:c r="F67" t="str">
        <x:v>Daniela</x:v>
      </x:c>
      <x:c r="G67" t="str">
        <x:v>E-commerce</x:v>
      </x:c>
      <x:c r="H67" s="14" t="n">
        <x:v>1</x:v>
      </x:c>
      <x:c r="I67" s="12" t="n">
        <x:v>100</x:v>
      </x:c>
      <x:c r="J67" s="12" t="n">
        <x:f>H67*I67</x:f>
        <x:v>100</x:v>
      </x:c>
    </x:row>
    <x:row r="68">
      <x:c r="A68" s="10" t="n">
        <x:v>45995</x:v>
      </x:c>
      <x:c r="B68" t="str">
        <x:v>Dec/2025</x:v>
      </x:c>
      <x:c r="C68" t="str">
        <x:v>Xbox Series S</x:v>
      </x:c>
      <x:c r="D68" t="str">
        <x:v>Console</x:v>
      </x:c>
      <x:c r="E68" t="str">
        <x:v>Centro-Oeste</x:v>
      </x:c>
      <x:c r="F68" t="str">
        <x:v>Ana</x:v>
      </x:c>
      <x:c r="G68" t="str">
        <x:v>E-commerce</x:v>
      </x:c>
      <x:c r="H68" s="14" t="n">
        <x:v>1</x:v>
      </x:c>
      <x:c r="I68" s="12" t="n">
        <x:v>2249.91</x:v>
      </x:c>
      <x:c r="J68" s="12" t="n">
        <x:f>H68*I68</x:f>
        <x:v>2249.91</x:v>
      </x:c>
    </x:row>
    <x:row r="69">
      <x:c r="A69" s="10" t="n">
        <x:v>46002</x:v>
      </x:c>
      <x:c r="B69" t="str">
        <x:v>Dec/2025</x:v>
      </x:c>
      <x:c r="C69" t="str">
        <x:v>Game Pass Ultimate</x:v>
      </x:c>
      <x:c r="D69" t="str">
        <x:v>Assinatura</x:v>
      </x:c>
      <x:c r="E69" t="str">
        <x:v>Sudeste</x:v>
      </x:c>
      <x:c r="F69" t="str">
        <x:v>Ana</x:v>
      </x:c>
      <x:c r="G69" t="str">
        <x:v>Loja física</x:v>
      </x:c>
      <x:c r="H69" s="14" t="n">
        <x:v>1</x:v>
      </x:c>
      <x:c r="I69" s="12" t="n">
        <x:v>59.9</x:v>
      </x:c>
      <x:c r="J69" s="12" t="n">
        <x:f>H69*I69</x:f>
        <x:v>59.9</x:v>
      </x:c>
    </x:row>
    <x:row r="70">
      <x:c r="A70" s="10" t="n">
        <x:v>45783</x:v>
      </x:c>
      <x:c r="B70" t="str">
        <x:v>May/2025</x:v>
      </x:c>
      <x:c r="C70" t="str">
        <x:v>Gift Card Xbox</x:v>
      </x:c>
      <x:c r="D70" t="str">
        <x:v>Gift Card</x:v>
      </x:c>
      <x:c r="E70" t="str">
        <x:v>Nordeste</x:v>
      </x:c>
      <x:c r="F70" t="str">
        <x:v>Daniela</x:v>
      </x:c>
      <x:c r="G70" t="str">
        <x:v>E-commerce</x:v>
      </x:c>
      <x:c r="H70" s="14" t="n">
        <x:v>2</x:v>
      </x:c>
      <x:c r="I70" s="12" t="n">
        <x:v>100</x:v>
      </x:c>
      <x:c r="J70" s="12" t="n">
        <x:f>H70*I70</x:f>
        <x:v>200</x:v>
      </x:c>
    </x:row>
    <x:row r="71">
      <x:c r="A71" s="10" t="n">
        <x:v>46014</x:v>
      </x:c>
      <x:c r="B71" t="str">
        <x:v>Dec/2025</x:v>
      </x:c>
      <x:c r="C71" t="str">
        <x:v>Halo Infinite</x:v>
      </x:c>
      <x:c r="D71" t="str">
        <x:v>Jogo</x:v>
      </x:c>
      <x:c r="E71" t="str">
        <x:v>Sudeste</x:v>
      </x:c>
      <x:c r="F71" t="str">
        <x:v>Fernanda</x:v>
      </x:c>
      <x:c r="G71" t="str">
        <x:v>Loja física</x:v>
      </x:c>
      <x:c r="H71" s="14" t="n">
        <x:v>2</x:v>
      </x:c>
      <x:c r="I71" s="12" t="n">
        <x:v>199.9</x:v>
      </x:c>
      <x:c r="J71" s="12" t="n">
        <x:f>H71*I71</x:f>
        <x:v>399.8</x:v>
      </x:c>
    </x:row>
    <x:row r="72">
      <x:c r="A72" s="10" t="n">
        <x:v>45712</x:v>
      </x:c>
      <x:c r="B72" t="str">
        <x:v>Feb/2025</x:v>
      </x:c>
      <x:c r="C72" t="str">
        <x:v>Halo Infinite</x:v>
      </x:c>
      <x:c r="D72" t="str">
        <x:v>Jogo</x:v>
      </x:c>
      <x:c r="E72" t="str">
        <x:v>Nordeste</x:v>
      </x:c>
      <x:c r="F72" t="str">
        <x:v>Ana</x:v>
      </x:c>
      <x:c r="G72" t="str">
        <x:v>E-commerce</x:v>
      </x:c>
      <x:c r="H72" s="14" t="n">
        <x:v>1</x:v>
      </x:c>
      <x:c r="I72" s="12" t="n">
        <x:v>179.91</x:v>
      </x:c>
      <x:c r="J72" s="12" t="n">
        <x:f>H72*I72</x:f>
        <x:v>179.91</x:v>
      </x:c>
    </x:row>
    <x:row r="73">
      <x:c r="A73" s="10" t="n">
        <x:v>45720</x:v>
      </x:c>
      <x:c r="B73" t="str">
        <x:v>Mar/2025</x:v>
      </x:c>
      <x:c r="C73" t="str">
        <x:v>Gift Card Xbox</x:v>
      </x:c>
      <x:c r="D73" t="str">
        <x:v>Gift Card</x:v>
      </x:c>
      <x:c r="E73" t="str">
        <x:v>Norte</x:v>
      </x:c>
      <x:c r="F73" t="str">
        <x:v>Eduardo</x:v>
      </x:c>
      <x:c r="G73" t="str">
        <x:v>Marketplace</x:v>
      </x:c>
      <x:c r="H73" s="14" t="n">
        <x:v>1</x:v>
      </x:c>
      <x:c r="I73" s="12" t="n">
        <x:v>95</x:v>
      </x:c>
      <x:c r="J73" s="12" t="n">
        <x:f>H73*I73</x:f>
        <x:v>95</x:v>
      </x:c>
    </x:row>
    <x:row r="74">
      <x:c r="A74" s="10" t="n">
        <x:v>45884</x:v>
      </x:c>
      <x:c r="B74" t="str">
        <x:v>Aug/2025</x:v>
      </x:c>
      <x:c r="C74" t="str">
        <x:v>Halo Infinite</x:v>
      </x:c>
      <x:c r="D74" t="str">
        <x:v>Jogo</x:v>
      </x:c>
      <x:c r="E74" t="str">
        <x:v>Nordeste</x:v>
      </x:c>
      <x:c r="F74" t="str">
        <x:v>Bruno</x:v>
      </x:c>
      <x:c r="G74" t="str">
        <x:v>Televendas</x:v>
      </x:c>
      <x:c r="H74" s="14" t="n">
        <x:v>3</x:v>
      </x:c>
      <x:c r="I74" s="12" t="n">
        <x:v>179.91</x:v>
      </x:c>
      <x:c r="J74" s="12" t="n">
        <x:f>H74*I74</x:f>
        <x:v>539.73</x:v>
      </x:c>
    </x:row>
    <x:row r="75">
      <x:c r="A75" s="10" t="n">
        <x:v>45888</x:v>
      </x:c>
      <x:c r="B75" t="str">
        <x:v>Aug/2025</x:v>
      </x:c>
      <x:c r="C75" t="str">
        <x:v>Game Pass Ultimate</x:v>
      </x:c>
      <x:c r="D75" t="str">
        <x:v>Assinatura</x:v>
      </x:c>
      <x:c r="E75" t="str">
        <x:v>Norte</x:v>
      </x:c>
      <x:c r="F75" t="str">
        <x:v>Daniela</x:v>
      </x:c>
      <x:c r="G75" t="str">
        <x:v>E-commerce</x:v>
      </x:c>
      <x:c r="H75" s="14" t="n">
        <x:v>3</x:v>
      </x:c>
      <x:c r="I75" s="12" t="n">
        <x:v>59.9</x:v>
      </x:c>
      <x:c r="J75" s="12" t="n">
        <x:f>H75*I75</x:f>
        <x:v>179.7</x:v>
      </x:c>
    </x:row>
    <x:row r="76">
      <x:c r="A76" s="10" t="n">
        <x:v>45798</x:v>
      </x:c>
      <x:c r="B76" t="str">
        <x:v>May/2025</x:v>
      </x:c>
      <x:c r="C76" t="str">
        <x:v>Gift Card Xbox</x:v>
      </x:c>
      <x:c r="D76" t="str">
        <x:v>Gift Card</x:v>
      </x:c>
      <x:c r="E76" t="str">
        <x:v>Sudeste</x:v>
      </x:c>
      <x:c r="F76" t="str">
        <x:v>Carlos</x:v>
      </x:c>
      <x:c r="G76" t="str">
        <x:v>Marketplace</x:v>
      </x:c>
      <x:c r="H76" s="14" t="n">
        <x:v>1</x:v>
      </x:c>
      <x:c r="I76" s="12" t="n">
        <x:v>100</x:v>
      </x:c>
      <x:c r="J76" s="12" t="n">
        <x:f>H76*I76</x:f>
        <x:v>100</x:v>
      </x:c>
    </x:row>
    <x:row r="77">
      <x:c r="A77" s="10" t="n">
        <x:v>45821</x:v>
      </x:c>
      <x:c r="B77" t="str">
        <x:v>Jun/2025</x:v>
      </x:c>
      <x:c r="C77" t="str">
        <x:v>Xbox Series S</x:v>
      </x:c>
      <x:c r="D77" t="str">
        <x:v>Console</x:v>
      </x:c>
      <x:c r="E77" t="str">
        <x:v>Nordeste</x:v>
      </x:c>
      <x:c r="F77" t="str">
        <x:v>Fernanda</x:v>
      </x:c>
      <x:c r="G77" t="str">
        <x:v>E-commerce</x:v>
      </x:c>
      <x:c r="H77" s="14" t="n">
        <x:v>1</x:v>
      </x:c>
      <x:c r="I77" s="12" t="n">
        <x:v>2499.9</x:v>
      </x:c>
      <x:c r="J77" s="12" t="n">
        <x:f>H77*I77</x:f>
        <x:v>2499.9</x:v>
      </x:c>
    </x:row>
    <x:row r="78">
      <x:c r="A78" s="10" t="n">
        <x:v>46019</x:v>
      </x:c>
      <x:c r="B78" t="str">
        <x:v>Dec/2025</x:v>
      </x:c>
      <x:c r="C78" t="str">
        <x:v>Headset Xbox</x:v>
      </x:c>
      <x:c r="D78" t="str">
        <x:v>Acessório</x:v>
      </x:c>
      <x:c r="E78" t="str">
        <x:v>Centro-Oeste</x:v>
      </x:c>
      <x:c r="F78" t="str">
        <x:v>Eduardo</x:v>
      </x:c>
      <x:c r="G78" t="str">
        <x:v>Televendas</x:v>
      </x:c>
      <x:c r="H78" s="14" t="n">
        <x:v>1</x:v>
      </x:c>
      <x:c r="I78" s="12" t="n">
        <x:v>284.9</x:v>
      </x:c>
      <x:c r="J78" s="12" t="n">
        <x:f>H78*I78</x:f>
        <x:v>284.9</x:v>
      </x:c>
    </x:row>
    <x:row r="79">
      <x:c r="A79" s="10" t="n">
        <x:v>45870</x:v>
      </x:c>
      <x:c r="B79" t="str">
        <x:v>Aug/2025</x:v>
      </x:c>
      <x:c r="C79" t="str">
        <x:v>Xbox Series X</x:v>
      </x:c>
      <x:c r="D79" t="str">
        <x:v>Console</x:v>
      </x:c>
      <x:c r="E79" t="str">
        <x:v>Nordeste</x:v>
      </x:c>
      <x:c r="F79" t="str">
        <x:v>Eduardo</x:v>
      </x:c>
      <x:c r="G79" t="str">
        <x:v>Loja física</x:v>
      </x:c>
      <x:c r="H79" s="14" t="n">
        <x:v>1</x:v>
      </x:c>
      <x:c r="I79" s="12" t="n">
        <x:v>4274.9</x:v>
      </x:c>
      <x:c r="J79" s="12" t="n">
        <x:f>H79*I79</x:f>
        <x:v>4274.9</x:v>
      </x:c>
    </x:row>
    <x:row r="80">
      <x:c r="A80" s="10" t="n">
        <x:v>45952</x:v>
      </x:c>
      <x:c r="B80" t="str">
        <x:v>Oct/2025</x:v>
      </x:c>
      <x:c r="C80" t="str">
        <x:v>Halo Infinite</x:v>
      </x:c>
      <x:c r="D80" t="str">
        <x:v>Jogo</x:v>
      </x:c>
      <x:c r="E80" t="str">
        <x:v>Centro-Oeste</x:v>
      </x:c>
      <x:c r="F80" t="str">
        <x:v>Daniela</x:v>
      </x:c>
      <x:c r="G80" t="str">
        <x:v>Televendas</x:v>
      </x:c>
      <x:c r="H80" s="14" t="n">
        <x:v>2</x:v>
      </x:c>
      <x:c r="I80" s="12" t="n">
        <x:v>199.9</x:v>
      </x:c>
      <x:c r="J80" s="12" t="n">
        <x:f>H80*I80</x:f>
        <x:v>399.8</x:v>
      </x:c>
    </x:row>
    <x:row r="81">
      <x:c r="A81" s="10" t="n">
        <x:v>45933</x:v>
      </x:c>
      <x:c r="B81" t="str">
        <x:v>Oct/2025</x:v>
      </x:c>
      <x:c r="C81" t="str">
        <x:v>Headset Xbox</x:v>
      </x:c>
      <x:c r="D81" t="str">
        <x:v>Acessório</x:v>
      </x:c>
      <x:c r="E81" t="str">
        <x:v>Nordeste</x:v>
      </x:c>
      <x:c r="F81" t="str">
        <x:v>Daniela</x:v>
      </x:c>
      <x:c r="G81" t="str">
        <x:v>Loja física</x:v>
      </x:c>
      <x:c r="H81" s="14" t="n">
        <x:v>2</x:v>
      </x:c>
      <x:c r="I81" s="12" t="n">
        <x:v>299.9</x:v>
      </x:c>
      <x:c r="J81" s="12" t="n">
        <x:f>H81*I81</x:f>
        <x:v>599.8</x:v>
      </x:c>
    </x:row>
    <x:row r="82">
      <x:c r="A82" s="10" t="n">
        <x:v>45857</x:v>
      </x:c>
      <x:c r="B82" t="str">
        <x:v>Jul/2025</x:v>
      </x:c>
      <x:c r="C82" t="str">
        <x:v>Forza Horizon 5</x:v>
      </x:c>
      <x:c r="D82" t="str">
        <x:v>Jogo</x:v>
      </x:c>
      <x:c r="E82" t="str">
        <x:v>Sudeste</x:v>
      </x:c>
      <x:c r="F82" t="str">
        <x:v>Daniela</x:v>
      </x:c>
      <x:c r="G82" t="str">
        <x:v>E-commerce</x:v>
      </x:c>
      <x:c r="H82" s="14" t="n">
        <x:v>2</x:v>
      </x:c>
      <x:c r="I82" s="12" t="n">
        <x:v>237.41</x:v>
      </x:c>
      <x:c r="J82" s="12" t="n">
        <x:f>H82*I82</x:f>
        <x:v>474.82</x:v>
      </x:c>
    </x:row>
    <x:row r="83">
      <x:c r="A83" s="10" t="n">
        <x:v>45976</x:v>
      </x:c>
      <x:c r="B83" t="str">
        <x:v>Nov/2025</x:v>
      </x:c>
      <x:c r="C83" t="str">
        <x:v>Xbox Series X</x:v>
      </x:c>
      <x:c r="D83" t="str">
        <x:v>Console</x:v>
      </x:c>
      <x:c r="E83" t="str">
        <x:v>Norte</x:v>
      </x:c>
      <x:c r="F83" t="str">
        <x:v>Fernanda</x:v>
      </x:c>
      <x:c r="G83" t="str">
        <x:v>Loja física</x:v>
      </x:c>
      <x:c r="H83" s="14" t="n">
        <x:v>4</x:v>
      </x:c>
      <x:c r="I83" s="12" t="n">
        <x:v>4049.91</x:v>
      </x:c>
      <x:c r="J83" s="12" t="n">
        <x:f>H83*I83</x:f>
        <x:v>16199.64</x:v>
      </x:c>
    </x:row>
    <x:row r="84">
      <x:c r="A84" s="10" t="n">
        <x:v>45700</x:v>
      </x:c>
      <x:c r="B84" t="str">
        <x:v>Feb/2025</x:v>
      </x:c>
      <x:c r="C84" t="str">
        <x:v>Halo Infinite</x:v>
      </x:c>
      <x:c r="D84" t="str">
        <x:v>Jogo</x:v>
      </x:c>
      <x:c r="E84" t="str">
        <x:v>Sudeste</x:v>
      </x:c>
      <x:c r="F84" t="str">
        <x:v>Ana</x:v>
      </x:c>
      <x:c r="G84" t="str">
        <x:v>Marketplace</x:v>
      </x:c>
      <x:c r="H84" s="14" t="n">
        <x:v>1</x:v>
      </x:c>
      <x:c r="I84" s="12" t="n">
        <x:v>189.91</x:v>
      </x:c>
      <x:c r="J84" s="12" t="n">
        <x:f>H84*I84</x:f>
        <x:v>189.91</x:v>
      </x:c>
    </x:row>
    <x:row r="85">
      <x:c r="A85" s="10" t="n">
        <x:v>45852</x:v>
      </x:c>
      <x:c r="B85" t="str">
        <x:v>Jul/2025</x:v>
      </x:c>
      <x:c r="C85" t="str">
        <x:v>Forza Horizon 5</x:v>
      </x:c>
      <x:c r="D85" t="str">
        <x:v>Jogo</x:v>
      </x:c>
      <x:c r="E85" t="str">
        <x:v>Centro-Oeste</x:v>
      </x:c>
      <x:c r="F85" t="str">
        <x:v>Daniela</x:v>
      </x:c>
      <x:c r="G85" t="str">
        <x:v>Marketplace</x:v>
      </x:c>
      <x:c r="H85" s="14" t="n">
        <x:v>1</x:v>
      </x:c>
      <x:c r="I85" s="12" t="n">
        <x:v>249.9</x:v>
      </x:c>
      <x:c r="J85" s="12" t="n">
        <x:f>H85*I85</x:f>
        <x:v>249.9</x:v>
      </x:c>
    </x:row>
    <x:row r="86">
      <x:c r="A86" s="10" t="n">
        <x:v>45873</x:v>
      </x:c>
      <x:c r="B86" t="str">
        <x:v>Aug/2025</x:v>
      </x:c>
      <x:c r="C86" t="str">
        <x:v>Game Pass Ultimate</x:v>
      </x:c>
      <x:c r="D86" t="str">
        <x:v>Assinatura</x:v>
      </x:c>
      <x:c r="E86" t="str">
        <x:v>Sul</x:v>
      </x:c>
      <x:c r="F86" t="str">
        <x:v>Fernanda</x:v>
      </x:c>
      <x:c r="G86" t="str">
        <x:v>Loja física</x:v>
      </x:c>
      <x:c r="H86" s="14" t="n">
        <x:v>3</x:v>
      </x:c>
      <x:c r="I86" s="12" t="n">
        <x:v>56.9</x:v>
      </x:c>
      <x:c r="J86" s="12" t="n">
        <x:f>H86*I86</x:f>
        <x:v>170.7</x:v>
      </x:c>
    </x:row>
    <x:row r="87">
      <x:c r="A87" s="10" t="n">
        <x:v>45837</x:v>
      </x:c>
      <x:c r="B87" t="str">
        <x:v>Jun/2025</x:v>
      </x:c>
      <x:c r="C87" t="str">
        <x:v>Headset Xbox</x:v>
      </x:c>
      <x:c r="D87" t="str">
        <x:v>Acessório</x:v>
      </x:c>
      <x:c r="E87" t="str">
        <x:v>Sul</x:v>
      </x:c>
      <x:c r="F87" t="str">
        <x:v>Bruno</x:v>
      </x:c>
      <x:c r="G87" t="str">
        <x:v>E-commerce</x:v>
      </x:c>
      <x:c r="H87" s="14" t="n">
        <x:v>2</x:v>
      </x:c>
      <x:c r="I87" s="12" t="n">
        <x:v>299.9</x:v>
      </x:c>
      <x:c r="J87" s="12" t="n">
        <x:f>H87*I87</x:f>
        <x:v>599.8</x:v>
      </x:c>
    </x:row>
    <x:row r="88">
      <x:c r="A88" s="10" t="n">
        <x:v>45668</x:v>
      </x:c>
      <x:c r="B88" t="str">
        <x:v>Jan/2025</x:v>
      </x:c>
      <x:c r="C88" t="str">
        <x:v>Controle Xbox</x:v>
      </x:c>
      <x:c r="D88" t="str">
        <x:v>Acessório</x:v>
      </x:c>
      <x:c r="E88" t="str">
        <x:v>Sul</x:v>
      </x:c>
      <x:c r="F88" t="str">
        <x:v>Eduardo</x:v>
      </x:c>
      <x:c r="G88" t="str">
        <x:v>E-commerce</x:v>
      </x:c>
      <x:c r="H88" s="14" t="n">
        <x:v>1</x:v>
      </x:c>
      <x:c r="I88" s="12" t="n">
        <x:v>379.9</x:v>
      </x:c>
      <x:c r="J88" s="12" t="n">
        <x:f>H88*I88</x:f>
        <x:v>379.9</x:v>
      </x:c>
    </x:row>
    <x:row r="89">
      <x:c r="A89" s="10" t="n">
        <x:v>45896</x:v>
      </x:c>
      <x:c r="B89" t="str">
        <x:v>Aug/2025</x:v>
      </x:c>
      <x:c r="C89" t="str">
        <x:v>Game Pass Ultimate</x:v>
      </x:c>
      <x:c r="D89" t="str">
        <x:v>Assinatura</x:v>
      </x:c>
      <x:c r="E89" t="str">
        <x:v>Norte</x:v>
      </x:c>
      <x:c r="F89" t="str">
        <x:v>Eduardo</x:v>
      </x:c>
      <x:c r="G89" t="str">
        <x:v>Loja física</x:v>
      </x:c>
      <x:c r="H89" s="14" t="n">
        <x:v>3</x:v>
      </x:c>
      <x:c r="I89" s="12" t="n">
        <x:v>59.9</x:v>
      </x:c>
      <x:c r="J89" s="12" t="n">
        <x:f>H89*I89</x:f>
        <x:v>179.7</x:v>
      </x:c>
    </x:row>
    <x:row r="90">
      <x:c r="A90" s="10" t="n">
        <x:v>45741</x:v>
      </x:c>
      <x:c r="B90" t="str">
        <x:v>Mar/2025</x:v>
      </x:c>
      <x:c r="C90" t="str">
        <x:v>Game Pass Ultimate</x:v>
      </x:c>
      <x:c r="D90" t="str">
        <x:v>Assinatura</x:v>
      </x:c>
      <x:c r="E90" t="str">
        <x:v>Centro-Oeste</x:v>
      </x:c>
      <x:c r="F90" t="str">
        <x:v>Eduardo</x:v>
      </x:c>
      <x:c r="G90" t="str">
        <x:v>Televendas</x:v>
      </x:c>
      <x:c r="H90" s="14" t="n">
        <x:v>1</x:v>
      </x:c>
      <x:c r="I90" s="12" t="n">
        <x:v>59.9</x:v>
      </x:c>
      <x:c r="J90" s="12" t="n">
        <x:f>H90*I90</x:f>
        <x:v>59.9</x:v>
      </x:c>
    </x:row>
    <x:row r="91">
      <x:c r="A91" s="10" t="n">
        <x:v>45861</x:v>
      </x:c>
      <x:c r="B91" t="str">
        <x:v>Jul/2025</x:v>
      </x:c>
      <x:c r="C91" t="str">
        <x:v>Headset Xbox</x:v>
      </x:c>
      <x:c r="D91" t="str">
        <x:v>Acessório</x:v>
      </x:c>
      <x:c r="E91" t="str">
        <x:v>Sul</x:v>
      </x:c>
      <x:c r="F91" t="str">
        <x:v>Fernanda</x:v>
      </x:c>
      <x:c r="G91" t="str">
        <x:v>Marketplace</x:v>
      </x:c>
      <x:c r="H91" s="14" t="n">
        <x:v>1</x:v>
      </x:c>
      <x:c r="I91" s="12" t="n">
        <x:v>299.9</x:v>
      </x:c>
      <x:c r="J91" s="12" t="n">
        <x:f>H91*I91</x:f>
        <x:v>299.9</x:v>
      </x:c>
    </x:row>
    <x:row r="92">
      <x:c r="A92" s="10" t="n">
        <x:v>46008</x:v>
      </x:c>
      <x:c r="B92" t="str">
        <x:v>Dec/2025</x:v>
      </x:c>
      <x:c r="C92" t="str">
        <x:v>Xbox Series S</x:v>
      </x:c>
      <x:c r="D92" t="str">
        <x:v>Console</x:v>
      </x:c>
      <x:c r="E92" t="str">
        <x:v>Sul</x:v>
      </x:c>
      <x:c r="F92" t="str">
        <x:v>Carlos</x:v>
      </x:c>
      <x:c r="G92" t="str">
        <x:v>Televendas</x:v>
      </x:c>
      <x:c r="H92" s="14" t="n">
        <x:v>3</x:v>
      </x:c>
      <x:c r="I92" s="12" t="n">
        <x:v>2249.91</x:v>
      </x:c>
      <x:c r="J92" s="12" t="n">
        <x:f>H92*I92</x:f>
        <x:v>6749.73</x:v>
      </x:c>
    </x:row>
    <x:row r="93">
      <x:c r="A93" s="10" t="n">
        <x:v>45996</x:v>
      </x:c>
      <x:c r="B93" t="str">
        <x:v>Dec/2025</x:v>
      </x:c>
      <x:c r="C93" t="str">
        <x:v>Forza Horizon 5</x:v>
      </x:c>
      <x:c r="D93" t="str">
        <x:v>Jogo</x:v>
      </x:c>
      <x:c r="E93" t="str">
        <x:v>Sul</x:v>
      </x:c>
      <x:c r="F93" t="str">
        <x:v>Daniela</x:v>
      </x:c>
      <x:c r="G93" t="str">
        <x:v>Televendas</x:v>
      </x:c>
      <x:c r="H93" s="14" t="n">
        <x:v>1</x:v>
      </x:c>
      <x:c r="I93" s="12" t="n">
        <x:v>249.9</x:v>
      </x:c>
      <x:c r="J93" s="12" t="n">
        <x:f>H93*I93</x:f>
        <x:v>249.9</x:v>
      </x:c>
    </x:row>
    <x:row r="94">
      <x:c r="A94" s="10" t="n">
        <x:v>45712</x:v>
      </x:c>
      <x:c r="B94" t="str">
        <x:v>Feb/2025</x:v>
      </x:c>
      <x:c r="C94" t="str">
        <x:v>Halo Infinite</x:v>
      </x:c>
      <x:c r="D94" t="str">
        <x:v>Jogo</x:v>
      </x:c>
      <x:c r="E94" t="str">
        <x:v>Sudeste</x:v>
      </x:c>
      <x:c r="F94" t="str">
        <x:v>Daniela</x:v>
      </x:c>
      <x:c r="G94" t="str">
        <x:v>E-commerce</x:v>
      </x:c>
      <x:c r="H94" s="14" t="n">
        <x:v>5</x:v>
      </x:c>
      <x:c r="I94" s="12" t="n">
        <x:v>189.91</x:v>
      </x:c>
      <x:c r="J94" s="12" t="n">
        <x:f>H94*I94</x:f>
        <x:v>949.55</x:v>
      </x:c>
    </x:row>
    <x:row r="95">
      <x:c r="A95" s="10" t="n">
        <x:v>45925</x:v>
      </x:c>
      <x:c r="B95" t="str">
        <x:v>Sep/2025</x:v>
      </x:c>
      <x:c r="C95" t="str">
        <x:v>Game Pass Ultimate</x:v>
      </x:c>
      <x:c r="D95" t="str">
        <x:v>Assinatura</x:v>
      </x:c>
      <x:c r="E95" t="str">
        <x:v>Nordeste</x:v>
      </x:c>
      <x:c r="F95" t="str">
        <x:v>Daniela</x:v>
      </x:c>
      <x:c r="G95" t="str">
        <x:v>Televendas</x:v>
      </x:c>
      <x:c r="H95" s="14" t="n">
        <x:v>2</x:v>
      </x:c>
      <x:c r="I95" s="12" t="n">
        <x:v>53.91</x:v>
      </x:c>
      <x:c r="J95" s="12" t="n">
        <x:f>H95*I95</x:f>
        <x:v>107.82</x:v>
      </x:c>
    </x:row>
    <x:row r="96">
      <x:c r="A96" s="10" t="n">
        <x:v>45961</x:v>
      </x:c>
      <x:c r="B96" t="str">
        <x:v>Oct/2025</x:v>
      </x:c>
      <x:c r="C96" t="str">
        <x:v>Game Pass Ultimate</x:v>
      </x:c>
      <x:c r="D96" t="str">
        <x:v>Assinatura</x:v>
      </x:c>
      <x:c r="E96" t="str">
        <x:v>Sul</x:v>
      </x:c>
      <x:c r="F96" t="str">
        <x:v>Carlos</x:v>
      </x:c>
      <x:c r="G96" t="str">
        <x:v>Televendas</x:v>
      </x:c>
      <x:c r="H96" s="14" t="n">
        <x:v>1</x:v>
      </x:c>
      <x:c r="I96" s="12" t="n">
        <x:v>59.9</x:v>
      </x:c>
      <x:c r="J96" s="12" t="n">
        <x:f>H96*I96</x:f>
        <x:v>59.9</x:v>
      </x:c>
    </x:row>
    <x:row r="97">
      <x:c r="A97" s="10" t="n">
        <x:v>45782</x:v>
      </x:c>
      <x:c r="B97" t="str">
        <x:v>May/2025</x:v>
      </x:c>
      <x:c r="C97" t="str">
        <x:v>Gift Card Xbox</x:v>
      </x:c>
      <x:c r="D97" t="str">
        <x:v>Gift Card</x:v>
      </x:c>
      <x:c r="E97" t="str">
        <x:v>Centro-Oeste</x:v>
      </x:c>
      <x:c r="F97" t="str">
        <x:v>Ana</x:v>
      </x:c>
      <x:c r="G97" t="str">
        <x:v>Televendas</x:v>
      </x:c>
      <x:c r="H97" s="14" t="n">
        <x:v>2</x:v>
      </x:c>
      <x:c r="I97" s="12" t="n">
        <x:v>95</x:v>
      </x:c>
      <x:c r="J97" s="12" t="n">
        <x:f>H97*I97</x:f>
        <x:v>190</x:v>
      </x:c>
    </x:row>
    <x:row r="98">
      <x:c r="A98" s="10" t="n">
        <x:v>45824</x:v>
      </x:c>
      <x:c r="B98" t="str">
        <x:v>Jun/2025</x:v>
      </x:c>
      <x:c r="C98" t="str">
        <x:v>Controle Xbox</x:v>
      </x:c>
      <x:c r="D98" t="str">
        <x:v>Acessório</x:v>
      </x:c>
      <x:c r="E98" t="str">
        <x:v>Centro-Oeste</x:v>
      </x:c>
      <x:c r="F98" t="str">
        <x:v>Carlos</x:v>
      </x:c>
      <x:c r="G98" t="str">
        <x:v>Marketplace</x:v>
      </x:c>
      <x:c r="H98" s="14" t="n">
        <x:v>2</x:v>
      </x:c>
      <x:c r="I98" s="12" t="n">
        <x:v>399.9</x:v>
      </x:c>
      <x:c r="J98" s="12" t="n">
        <x:f>H98*I98</x:f>
        <x:v>799.8</x:v>
      </x:c>
    </x:row>
    <x:row r="99">
      <x:c r="A99" s="10" t="n">
        <x:v>45963</x:v>
      </x:c>
      <x:c r="B99" t="str">
        <x:v>Nov/2025</x:v>
      </x:c>
      <x:c r="C99" t="str">
        <x:v>Game Pass Ultimate</x:v>
      </x:c>
      <x:c r="D99" t="str">
        <x:v>Assinatura</x:v>
      </x:c>
      <x:c r="E99" t="str">
        <x:v>Sudeste</x:v>
      </x:c>
      <x:c r="F99" t="str">
        <x:v>Ana</x:v>
      </x:c>
      <x:c r="G99" t="str">
        <x:v>E-commerce</x:v>
      </x:c>
      <x:c r="H99" s="14" t="n">
        <x:v>2</x:v>
      </x:c>
      <x:c r="I99" s="12" t="n">
        <x:v>53.91</x:v>
      </x:c>
      <x:c r="J99" s="12" t="n">
        <x:f>H99*I99</x:f>
        <x:v>107.82</x:v>
      </x:c>
    </x:row>
    <x:row r="100">
      <x:c r="A100" s="10" t="n">
        <x:v>45866</x:v>
      </x:c>
      <x:c r="B100" t="str">
        <x:v>Jul/2025</x:v>
      </x:c>
      <x:c r="C100" t="str">
        <x:v>Gift Card Xbox</x:v>
      </x:c>
      <x:c r="D100" t="str">
        <x:v>Gift Card</x:v>
      </x:c>
      <x:c r="E100" t="str">
        <x:v>Nordeste</x:v>
      </x:c>
      <x:c r="F100" t="str">
        <x:v>Fernanda</x:v>
      </x:c>
      <x:c r="G100" t="str">
        <x:v>Televendas</x:v>
      </x:c>
      <x:c r="H100" s="14" t="n">
        <x:v>2</x:v>
      </x:c>
      <x:c r="I100" s="12" t="n">
        <x:v>100</x:v>
      </x:c>
      <x:c r="J100" s="12" t="n">
        <x:f>H100*I100</x:f>
        <x:v>200</x:v>
      </x:c>
    </x:row>
    <x:row r="101">
      <x:c r="A101" s="10" t="n">
        <x:v>45887</x:v>
      </x:c>
      <x:c r="B101" t="str">
        <x:v>Aug/2025</x:v>
      </x:c>
      <x:c r="C101" t="str">
        <x:v>Xbox Series X</x:v>
      </x:c>
      <x:c r="D101" t="str">
        <x:v>Console</x:v>
      </x:c>
      <x:c r="E101" t="str">
        <x:v>Nordeste</x:v>
      </x:c>
      <x:c r="F101" t="str">
        <x:v>Fernanda</x:v>
      </x:c>
      <x:c r="G101" t="str">
        <x:v>E-commerce</x:v>
      </x:c>
      <x:c r="H101" s="14" t="n">
        <x:v>1</x:v>
      </x:c>
      <x:c r="I101" s="12" t="n">
        <x:v>4499.9</x:v>
      </x:c>
      <x:c r="J101" s="12" t="n">
        <x:f>H101*I101</x:f>
        <x:v>4499.9</x:v>
      </x:c>
    </x:row>
    <x:row r="102">
      <x:c r="A102" s="10" t="n">
        <x:v>45814</x:v>
      </x:c>
      <x:c r="B102" t="str">
        <x:v>Jun/2025</x:v>
      </x:c>
      <x:c r="C102" t="str">
        <x:v>Forza Horizon 5</x:v>
      </x:c>
      <x:c r="D102" t="str">
        <x:v>Jogo</x:v>
      </x:c>
      <x:c r="E102" t="str">
        <x:v>Centro-Oeste</x:v>
      </x:c>
      <x:c r="F102" t="str">
        <x:v>Daniela</x:v>
      </x:c>
      <x:c r="G102" t="str">
        <x:v>Marketplace</x:v>
      </x:c>
      <x:c r="H102" s="14" t="n">
        <x:v>2</x:v>
      </x:c>
      <x:c r="I102" s="12" t="n">
        <x:v>224.91</x:v>
      </x:c>
      <x:c r="J102" s="12" t="n">
        <x:f>H102*I102</x:f>
        <x:v>449.82</x:v>
      </x:c>
    </x:row>
    <x:row r="103">
      <x:c r="A103" s="10" t="n">
        <x:v>45838</x:v>
      </x:c>
      <x:c r="B103" t="str">
        <x:v>Jun/2025</x:v>
      </x:c>
      <x:c r="C103" t="str">
        <x:v>Gift Card Xbox</x:v>
      </x:c>
      <x:c r="D103" t="str">
        <x:v>Gift Card</x:v>
      </x:c>
      <x:c r="E103" t="str">
        <x:v>Sudeste</x:v>
      </x:c>
      <x:c r="F103" t="str">
        <x:v>Ana</x:v>
      </x:c>
      <x:c r="G103" t="str">
        <x:v>E-commerce</x:v>
      </x:c>
      <x:c r="H103" s="14" t="n">
        <x:v>1</x:v>
      </x:c>
      <x:c r="I103" s="12" t="n">
        <x:v>100</x:v>
      </x:c>
      <x:c r="J103" s="12" t="n">
        <x:f>H103*I103</x:f>
        <x:v>100</x:v>
      </x:c>
    </x:row>
    <x:row r="104">
      <x:c r="A104" s="10" t="n">
        <x:v>45819</x:v>
      </x:c>
      <x:c r="B104" t="str">
        <x:v>Jun/2025</x:v>
      </x:c>
      <x:c r="C104" t="str">
        <x:v>Xbox Series S</x:v>
      </x:c>
      <x:c r="D104" t="str">
        <x:v>Console</x:v>
      </x:c>
      <x:c r="E104" t="str">
        <x:v>Sudeste</x:v>
      </x:c>
      <x:c r="F104" t="str">
        <x:v>Bruno</x:v>
      </x:c>
      <x:c r="G104" t="str">
        <x:v>Televendas</x:v>
      </x:c>
      <x:c r="H104" s="14" t="n">
        <x:v>3</x:v>
      </x:c>
      <x:c r="I104" s="12" t="n">
        <x:v>2499.9</x:v>
      </x:c>
      <x:c r="J104" s="12" t="n">
        <x:f>H104*I104</x:f>
        <x:v>7499.700000000001</x:v>
      </x:c>
    </x:row>
    <x:row r="105">
      <x:c r="A105" s="10" t="n">
        <x:v>45799</x:v>
      </x:c>
      <x:c r="B105" t="str">
        <x:v>May/2025</x:v>
      </x:c>
      <x:c r="C105" t="str">
        <x:v>Game Pass Ultimate</x:v>
      </x:c>
      <x:c r="D105" t="str">
        <x:v>Assinatura</x:v>
      </x:c>
      <x:c r="E105" t="str">
        <x:v>Centro-Oeste</x:v>
      </x:c>
      <x:c r="F105" t="str">
        <x:v>Bruno</x:v>
      </x:c>
      <x:c r="G105" t="str">
        <x:v>Marketplace</x:v>
      </x:c>
      <x:c r="H105" s="14" t="n">
        <x:v>5</x:v>
      </x:c>
      <x:c r="I105" s="12" t="n">
        <x:v>59.9</x:v>
      </x:c>
      <x:c r="J105" s="12" t="n">
        <x:f>H105*I105</x:f>
        <x:v>299.5</x:v>
      </x:c>
    </x:row>
    <x:row r="106">
      <x:c r="A106" s="10" t="n">
        <x:v>45749</x:v>
      </x:c>
      <x:c r="B106" t="str">
        <x:v>Apr/2025</x:v>
      </x:c>
      <x:c r="C106" t="str">
        <x:v>Game Pass Ultimate</x:v>
      </x:c>
      <x:c r="D106" t="str">
        <x:v>Assinatura</x:v>
      </x:c>
      <x:c r="E106" t="str">
        <x:v>Sudeste</x:v>
      </x:c>
      <x:c r="F106" t="str">
        <x:v>Carlos</x:v>
      </x:c>
      <x:c r="G106" t="str">
        <x:v>Loja física</x:v>
      </x:c>
      <x:c r="H106" s="14" t="n">
        <x:v>1</x:v>
      </x:c>
      <x:c r="I106" s="12" t="n">
        <x:v>53.91</x:v>
      </x:c>
      <x:c r="J106" s="12" t="n">
        <x:f>H106*I106</x:f>
        <x:v>53.91</x:v>
      </x:c>
    </x:row>
    <x:row r="107">
      <x:c r="A107" s="10" t="n">
        <x:v>45685</x:v>
      </x:c>
      <x:c r="B107" t="str">
        <x:v>Jan/2025</x:v>
      </x:c>
      <x:c r="C107" t="str">
        <x:v>Game Pass Ultimate</x:v>
      </x:c>
      <x:c r="D107" t="str">
        <x:v>Assinatura</x:v>
      </x:c>
      <x:c r="E107" t="str">
        <x:v>Nordeste</x:v>
      </x:c>
      <x:c r="F107" t="str">
        <x:v>Ana</x:v>
      </x:c>
      <x:c r="G107" t="str">
        <x:v>Loja física</x:v>
      </x:c>
      <x:c r="H107" s="14" t="n">
        <x:v>2</x:v>
      </x:c>
      <x:c r="I107" s="12" t="n">
        <x:v>59.9</x:v>
      </x:c>
      <x:c r="J107" s="12" t="n">
        <x:f>H107*I107</x:f>
        <x:v>119.8</x:v>
      </x:c>
    </x:row>
    <x:row r="108">
      <x:c r="A108" s="10" t="n">
        <x:v>45951</x:v>
      </x:c>
      <x:c r="B108" t="str">
        <x:v>Oct/2025</x:v>
      </x:c>
      <x:c r="C108" t="str">
        <x:v>Game Pass Ultimate</x:v>
      </x:c>
      <x:c r="D108" t="str">
        <x:v>Assinatura</x:v>
      </x:c>
      <x:c r="E108" t="str">
        <x:v>Centro-Oeste</x:v>
      </x:c>
      <x:c r="F108" t="str">
        <x:v>Bruno</x:v>
      </x:c>
      <x:c r="G108" t="str">
        <x:v>Loja física</x:v>
      </x:c>
      <x:c r="H108" s="14" t="n">
        <x:v>2</x:v>
      </x:c>
      <x:c r="I108" s="12" t="n">
        <x:v>56.9</x:v>
      </x:c>
      <x:c r="J108" s="12" t="n">
        <x:f>H108*I108</x:f>
        <x:v>113.8</x:v>
      </x:c>
    </x:row>
    <x:row r="109">
      <x:c r="A109" s="10" t="n">
        <x:v>45787</x:v>
      </x:c>
      <x:c r="B109" t="str">
        <x:v>May/2025</x:v>
      </x:c>
      <x:c r="C109" t="str">
        <x:v>Gift Card Xbox</x:v>
      </x:c>
      <x:c r="D109" t="str">
        <x:v>Gift Card</x:v>
      </x:c>
      <x:c r="E109" t="str">
        <x:v>Nordeste</x:v>
      </x:c>
      <x:c r="F109" t="str">
        <x:v>Daniela</x:v>
      </x:c>
      <x:c r="G109" t="str">
        <x:v>Loja física</x:v>
      </x:c>
      <x:c r="H109" s="14" t="n">
        <x:v>1</x:v>
      </x:c>
      <x:c r="I109" s="12" t="n">
        <x:v>100</x:v>
      </x:c>
      <x:c r="J109" s="12" t="n">
        <x:f>H109*I109</x:f>
        <x:v>100</x:v>
      </x:c>
    </x:row>
    <x:row r="110">
      <x:c r="A110" s="10" t="n">
        <x:v>45953</x:v>
      </x:c>
      <x:c r="B110" t="str">
        <x:v>Oct/2025</x:v>
      </x:c>
      <x:c r="C110" t="str">
        <x:v>Xbox Series X</x:v>
      </x:c>
      <x:c r="D110" t="str">
        <x:v>Console</x:v>
      </x:c>
      <x:c r="E110" t="str">
        <x:v>Centro-Oeste</x:v>
      </x:c>
      <x:c r="F110" t="str">
        <x:v>Ana</x:v>
      </x:c>
      <x:c r="G110" t="str">
        <x:v>E-commerce</x:v>
      </x:c>
      <x:c r="H110" s="14" t="n">
        <x:v>1</x:v>
      </x:c>
      <x:c r="I110" s="12" t="n">
        <x:v>4049.91</x:v>
      </x:c>
      <x:c r="J110" s="12" t="n">
        <x:f>H110*I110</x:f>
        <x:v>4049.91</x:v>
      </x:c>
    </x:row>
    <x:row r="111">
      <x:c r="A111" s="10" t="n">
        <x:v>45718</x:v>
      </x:c>
      <x:c r="B111" t="str">
        <x:v>Mar/2025</x:v>
      </x:c>
      <x:c r="C111" t="str">
        <x:v>Halo Infinite</x:v>
      </x:c>
      <x:c r="D111" t="str">
        <x:v>Jogo</x:v>
      </x:c>
      <x:c r="E111" t="str">
        <x:v>Sudeste</x:v>
      </x:c>
      <x:c r="F111" t="str">
        <x:v>Eduardo</x:v>
      </x:c>
      <x:c r="G111" t="str">
        <x:v>Televendas</x:v>
      </x:c>
      <x:c r="H111" s="14" t="n">
        <x:v>2</x:v>
      </x:c>
      <x:c r="I111" s="12" t="n">
        <x:v>179.91</x:v>
      </x:c>
      <x:c r="J111" s="12" t="n">
        <x:f>H111*I111</x:f>
        <x:v>359.82</x:v>
      </x:c>
    </x:row>
    <x:row r="112">
      <x:c r="A112" s="10" t="n">
        <x:v>45888</x:v>
      </x:c>
      <x:c r="B112" t="str">
        <x:v>Aug/2025</x:v>
      </x:c>
      <x:c r="C112" t="str">
        <x:v>Gift Card Xbox</x:v>
      </x:c>
      <x:c r="D112" t="str">
        <x:v>Gift Card</x:v>
      </x:c>
      <x:c r="E112" t="str">
        <x:v>Nordeste</x:v>
      </x:c>
      <x:c r="F112" t="str">
        <x:v>Carlos</x:v>
      </x:c>
      <x:c r="G112" t="str">
        <x:v>Loja física</x:v>
      </x:c>
      <x:c r="H112" s="14" t="n">
        <x:v>1</x:v>
      </x:c>
      <x:c r="I112" s="12" t="n">
        <x:v>90</x:v>
      </x:c>
      <x:c r="J112" s="12" t="n">
        <x:f>H112*I112</x:f>
        <x:v>90</x:v>
      </x:c>
    </x:row>
    <x:row r="113">
      <x:c r="A113" s="10" t="n">
        <x:v>45970</x:v>
      </x:c>
      <x:c r="B113" t="str">
        <x:v>Nov/2025</x:v>
      </x:c>
      <x:c r="C113" t="str">
        <x:v>Xbox Series S</x:v>
      </x:c>
      <x:c r="D113" t="str">
        <x:v>Console</x:v>
      </x:c>
      <x:c r="E113" t="str">
        <x:v>Sudeste</x:v>
      </x:c>
      <x:c r="F113" t="str">
        <x:v>Carlos</x:v>
      </x:c>
      <x:c r="G113" t="str">
        <x:v>Loja física</x:v>
      </x:c>
      <x:c r="H113" s="14" t="n">
        <x:v>4</x:v>
      </x:c>
      <x:c r="I113" s="12" t="n">
        <x:v>2499.9</x:v>
      </x:c>
      <x:c r="J113" s="12" t="n">
        <x:f>H113*I113</x:f>
        <x:v>9999.6</x:v>
      </x:c>
    </x:row>
    <x:row r="114">
      <x:c r="A114" s="10" t="n">
        <x:v>45738</x:v>
      </x:c>
      <x:c r="B114" t="str">
        <x:v>Mar/2025</x:v>
      </x:c>
      <x:c r="C114" t="str">
        <x:v>Headset Xbox</x:v>
      </x:c>
      <x:c r="D114" t="str">
        <x:v>Acessório</x:v>
      </x:c>
      <x:c r="E114" t="str">
        <x:v>Sudeste</x:v>
      </x:c>
      <x:c r="F114" t="str">
        <x:v>Ana</x:v>
      </x:c>
      <x:c r="G114" t="str">
        <x:v>Televendas</x:v>
      </x:c>
      <x:c r="H114" s="14" t="n">
        <x:v>1</x:v>
      </x:c>
      <x:c r="I114" s="12" t="n">
        <x:v>299.9</x:v>
      </x:c>
      <x:c r="J114" s="12" t="n">
        <x:f>H114*I114</x:f>
        <x:v>299.9</x:v>
      </x:c>
    </x:row>
    <x:row r="115">
      <x:c r="A115" s="10" t="n">
        <x:v>45888</x:v>
      </x:c>
      <x:c r="B115" t="str">
        <x:v>Aug/2025</x:v>
      </x:c>
      <x:c r="C115" t="str">
        <x:v>Gift Card Xbox</x:v>
      </x:c>
      <x:c r="D115" t="str">
        <x:v>Gift Card</x:v>
      </x:c>
      <x:c r="E115" t="str">
        <x:v>Centro-Oeste</x:v>
      </x:c>
      <x:c r="F115" t="str">
        <x:v>Fernanda</x:v>
      </x:c>
      <x:c r="G115" t="str">
        <x:v>Marketplace</x:v>
      </x:c>
      <x:c r="H115" s="14" t="n">
        <x:v>1</x:v>
      </x:c>
      <x:c r="I115" s="12" t="n">
        <x:v>100</x:v>
      </x:c>
      <x:c r="J115" s="12" t="n">
        <x:f>H115*I115</x:f>
        <x:v>100</x:v>
      </x:c>
    </x:row>
    <x:row r="116">
      <x:c r="A116" s="10" t="n">
        <x:v>46017</x:v>
      </x:c>
      <x:c r="B116" t="str">
        <x:v>Dec/2025</x:v>
      </x:c>
      <x:c r="C116" t="str">
        <x:v>Gift Card Xbox</x:v>
      </x:c>
      <x:c r="D116" t="str">
        <x:v>Gift Card</x:v>
      </x:c>
      <x:c r="E116" t="str">
        <x:v>Centro-Oeste</x:v>
      </x:c>
      <x:c r="F116" t="str">
        <x:v>Fernanda</x:v>
      </x:c>
      <x:c r="G116" t="str">
        <x:v>E-commerce</x:v>
      </x:c>
      <x:c r="H116" s="14" t="n">
        <x:v>1</x:v>
      </x:c>
      <x:c r="I116" s="12" t="n">
        <x:v>100</x:v>
      </x:c>
      <x:c r="J116" s="12" t="n">
        <x:f>H116*I116</x:f>
        <x:v>100</x:v>
      </x:c>
    </x:row>
    <x:row r="117">
      <x:c r="A117" s="10" t="n">
        <x:v>45875</x:v>
      </x:c>
      <x:c r="B117" t="str">
        <x:v>Aug/2025</x:v>
      </x:c>
      <x:c r="C117" t="str">
        <x:v>Xbox Series S</x:v>
      </x:c>
      <x:c r="D117" t="str">
        <x:v>Console</x:v>
      </x:c>
      <x:c r="E117" t="str">
        <x:v>Centro-Oeste</x:v>
      </x:c>
      <x:c r="F117" t="str">
        <x:v>Bruno</x:v>
      </x:c>
      <x:c r="G117" t="str">
        <x:v>Loja física</x:v>
      </x:c>
      <x:c r="H117" s="14" t="n">
        <x:v>2</x:v>
      </x:c>
      <x:c r="I117" s="12" t="n">
        <x:v>2499.9</x:v>
      </x:c>
      <x:c r="J117" s="12" t="n">
        <x:f>H117*I117</x:f>
        <x:v>4999.8</x:v>
      </x:c>
    </x:row>
    <x:row r="118">
      <x:c r="A118" s="10" t="n">
        <x:v>45688</x:v>
      </x:c>
      <x:c r="B118" t="str">
        <x:v>Jan/2025</x:v>
      </x:c>
      <x:c r="C118" t="str">
        <x:v>Controle Xbox</x:v>
      </x:c>
      <x:c r="D118" t="str">
        <x:v>Acessório</x:v>
      </x:c>
      <x:c r="E118" t="str">
        <x:v>Norte</x:v>
      </x:c>
      <x:c r="F118" t="str">
        <x:v>Carlos</x:v>
      </x:c>
      <x:c r="G118" t="str">
        <x:v>Televendas</x:v>
      </x:c>
      <x:c r="H118" s="14" t="n">
        <x:v>3</x:v>
      </x:c>
      <x:c r="I118" s="12" t="n">
        <x:v>359.91</x:v>
      </x:c>
      <x:c r="J118" s="12" t="n">
        <x:f>H118*I118</x:f>
        <x:v>1079.73</x:v>
      </x:c>
    </x:row>
    <x:row r="119">
      <x:c r="A119" s="10" t="n">
        <x:v>45721</x:v>
      </x:c>
      <x:c r="B119" t="str">
        <x:v>Mar/2025</x:v>
      </x:c>
      <x:c r="C119" t="str">
        <x:v>Gift Card Xbox</x:v>
      </x:c>
      <x:c r="D119" t="str">
        <x:v>Gift Card</x:v>
      </x:c>
      <x:c r="E119" t="str">
        <x:v>Centro-Oeste</x:v>
      </x:c>
      <x:c r="F119" t="str">
        <x:v>Eduardo</x:v>
      </x:c>
      <x:c r="G119" t="str">
        <x:v>Televendas</x:v>
      </x:c>
      <x:c r="H119" s="14" t="n">
        <x:v>2</x:v>
      </x:c>
      <x:c r="I119" s="12" t="n">
        <x:v>95</x:v>
      </x:c>
      <x:c r="J119" s="12" t="n">
        <x:f>H119*I119</x:f>
        <x:v>190</x:v>
      </x:c>
    </x:row>
    <x:row r="120">
      <x:c r="A120" s="10" t="n">
        <x:v>45882</x:v>
      </x:c>
      <x:c r="B120" t="str">
        <x:v>Aug/2025</x:v>
      </x:c>
      <x:c r="C120" t="str">
        <x:v>Xbox Series S</x:v>
      </x:c>
      <x:c r="D120" t="str">
        <x:v>Console</x:v>
      </x:c>
      <x:c r="E120" t="str">
        <x:v>Centro-Oeste</x:v>
      </x:c>
      <x:c r="F120" t="str">
        <x:v>Eduardo</x:v>
      </x:c>
      <x:c r="G120" t="str">
        <x:v>Marketplace</x:v>
      </x:c>
      <x:c r="H120" s="14" t="n">
        <x:v>2</x:v>
      </x:c>
      <x:c r="I120" s="12" t="n">
        <x:v>2374.91</x:v>
      </x:c>
      <x:c r="J120" s="12" t="n">
        <x:f>H120*I120</x:f>
        <x:v>4749.82</x:v>
      </x:c>
    </x:row>
    <x:row r="121">
      <x:c r="A121" s="10" t="n">
        <x:v>45671</x:v>
      </x:c>
      <x:c r="B121" t="str">
        <x:v>Jan/2025</x:v>
      </x:c>
      <x:c r="C121" t="str">
        <x:v>Xbox Series S</x:v>
      </x:c>
      <x:c r="D121" t="str">
        <x:v>Console</x:v>
      </x:c>
      <x:c r="E121" t="str">
        <x:v>Norte</x:v>
      </x:c>
      <x:c r="F121" t="str">
        <x:v>Ana</x:v>
      </x:c>
      <x:c r="G121" t="str">
        <x:v>Marketplace</x:v>
      </x:c>
      <x:c r="H121" s="14" t="n">
        <x:v>1</x:v>
      </x:c>
      <x:c r="I121" s="12" t="n">
        <x:v>2249.91</x:v>
      </x:c>
      <x:c r="J121" s="12" t="n">
        <x:f>H121*I121</x:f>
        <x:v>2249.91</x:v>
      </x:c>
    </x:row>
    <x:row r="122">
      <x:c r="A122" s="10" t="n">
        <x:v>45953</x:v>
      </x:c>
      <x:c r="B122" t="str">
        <x:v>Oct/2025</x:v>
      </x:c>
      <x:c r="C122" t="str">
        <x:v>Xbox Series X</x:v>
      </x:c>
      <x:c r="D122" t="str">
        <x:v>Console</x:v>
      </x:c>
      <x:c r="E122" t="str">
        <x:v>Nordeste</x:v>
      </x:c>
      <x:c r="F122" t="str">
        <x:v>Eduardo</x:v>
      </x:c>
      <x:c r="G122" t="str">
        <x:v>Televendas</x:v>
      </x:c>
      <x:c r="H122" s="14" t="n">
        <x:v>3</x:v>
      </x:c>
      <x:c r="I122" s="12" t="n">
        <x:v>4499.9</x:v>
      </x:c>
      <x:c r="J122" s="12" t="n">
        <x:f>H122*I122</x:f>
        <x:v>13499.699999999999</x:v>
      </x:c>
    </x:row>
    <x:row r="123">
      <x:c r="A123" s="10" t="n">
        <x:v>45800</x:v>
      </x:c>
      <x:c r="B123" t="str">
        <x:v>May/2025</x:v>
      </x:c>
      <x:c r="C123" t="str">
        <x:v>Controle Xbox</x:v>
      </x:c>
      <x:c r="D123" t="str">
        <x:v>Acessório</x:v>
      </x:c>
      <x:c r="E123" t="str">
        <x:v>Nordeste</x:v>
      </x:c>
      <x:c r="F123" t="str">
        <x:v>Ana</x:v>
      </x:c>
      <x:c r="G123" t="str">
        <x:v>Televendas</x:v>
      </x:c>
      <x:c r="H123" s="14" t="n">
        <x:v>5</x:v>
      </x:c>
      <x:c r="I123" s="12" t="n">
        <x:v>379.9</x:v>
      </x:c>
      <x:c r="J123" s="12" t="n">
        <x:f>H123*I123</x:f>
        <x:v>1899.5</x:v>
      </x:c>
    </x:row>
    <x:row r="124">
      <x:c r="A124" s="10" t="n">
        <x:v>45836</x:v>
      </x:c>
      <x:c r="B124" t="str">
        <x:v>Jun/2025</x:v>
      </x:c>
      <x:c r="C124" t="str">
        <x:v>Halo Infinite</x:v>
      </x:c>
      <x:c r="D124" t="str">
        <x:v>Jogo</x:v>
      </x:c>
      <x:c r="E124" t="str">
        <x:v>Sudeste</x:v>
      </x:c>
      <x:c r="F124" t="str">
        <x:v>Carlos</x:v>
      </x:c>
      <x:c r="G124" t="str">
        <x:v>Televendas</x:v>
      </x:c>
      <x:c r="H124" s="14" t="n">
        <x:v>1</x:v>
      </x:c>
      <x:c r="I124" s="12" t="n">
        <x:v>199.9</x:v>
      </x:c>
      <x:c r="J124" s="12" t="n">
        <x:f>H124*I124</x:f>
        <x:v>199.9</x:v>
      </x:c>
    </x:row>
    <x:row r="125">
      <x:c r="A125" s="10" t="n">
        <x:v>46013</x:v>
      </x:c>
      <x:c r="B125" t="str">
        <x:v>Dec/2025</x:v>
      </x:c>
      <x:c r="C125" t="str">
        <x:v>Gift Card Xbox</x:v>
      </x:c>
      <x:c r="D125" t="str">
        <x:v>Gift Card</x:v>
      </x:c>
      <x:c r="E125" t="str">
        <x:v>Norte</x:v>
      </x:c>
      <x:c r="F125" t="str">
        <x:v>Ana</x:v>
      </x:c>
      <x:c r="G125" t="str">
        <x:v>Televendas</x:v>
      </x:c>
      <x:c r="H125" s="14" t="n">
        <x:v>1</x:v>
      </x:c>
      <x:c r="I125" s="12" t="n">
        <x:v>95</x:v>
      </x:c>
      <x:c r="J125" s="12" t="n">
        <x:f>H125*I125</x:f>
        <x:v>95</x:v>
      </x:c>
    </x:row>
    <x:row r="126">
      <x:c r="A126" s="10" t="n">
        <x:v>45703</x:v>
      </x:c>
      <x:c r="B126" t="str">
        <x:v>Feb/2025</x:v>
      </x:c>
      <x:c r="C126" t="str">
        <x:v>Forza Horizon 5</x:v>
      </x:c>
      <x:c r="D126" t="str">
        <x:v>Jogo</x:v>
      </x:c>
      <x:c r="E126" t="str">
        <x:v>Nordeste</x:v>
      </x:c>
      <x:c r="F126" t="str">
        <x:v>Eduardo</x:v>
      </x:c>
      <x:c r="G126" t="str">
        <x:v>Loja física</x:v>
      </x:c>
      <x:c r="H126" s="14" t="n">
        <x:v>1</x:v>
      </x:c>
      <x:c r="I126" s="12" t="n">
        <x:v>249.9</x:v>
      </x:c>
      <x:c r="J126" s="12" t="n">
        <x:f>H126*I126</x:f>
        <x:v>249.9</x:v>
      </x:c>
    </x:row>
    <x:row r="127">
      <x:c r="A127" s="10" t="n">
        <x:v>45994</x:v>
      </x:c>
      <x:c r="B127" t="str">
        <x:v>Dec/2025</x:v>
      </x:c>
      <x:c r="C127" t="str">
        <x:v>Gift Card Xbox</x:v>
      </x:c>
      <x:c r="D127" t="str">
        <x:v>Gift Card</x:v>
      </x:c>
      <x:c r="E127" t="str">
        <x:v>Norte</x:v>
      </x:c>
      <x:c r="F127" t="str">
        <x:v>Carlos</x:v>
      </x:c>
      <x:c r="G127" t="str">
        <x:v>Televendas</x:v>
      </x:c>
      <x:c r="H127" s="14" t="n">
        <x:v>1</x:v>
      </x:c>
      <x:c r="I127" s="12" t="n">
        <x:v>100</x:v>
      </x:c>
      <x:c r="J127" s="12" t="n">
        <x:f>H127*I127</x:f>
        <x:v>100</x:v>
      </x:c>
    </x:row>
    <x:row r="128">
      <x:c r="A128" s="10" t="n">
        <x:v>45978</x:v>
      </x:c>
      <x:c r="B128" t="str">
        <x:v>Nov/2025</x:v>
      </x:c>
      <x:c r="C128" t="str">
        <x:v>Gift Card Xbox</x:v>
      </x:c>
      <x:c r="D128" t="str">
        <x:v>Gift Card</x:v>
      </x:c>
      <x:c r="E128" t="str">
        <x:v>Centro-Oeste</x:v>
      </x:c>
      <x:c r="F128" t="str">
        <x:v>Eduardo</x:v>
      </x:c>
      <x:c r="G128" t="str">
        <x:v>E-commerce</x:v>
      </x:c>
      <x:c r="H128" s="14" t="n">
        <x:v>3</x:v>
      </x:c>
      <x:c r="I128" s="12" t="n">
        <x:v>100</x:v>
      </x:c>
      <x:c r="J128" s="12" t="n">
        <x:f>H128*I128</x:f>
        <x:v>300</x:v>
      </x:c>
    </x:row>
    <x:row r="129">
      <x:c r="A129" s="10" t="n">
        <x:v>45805</x:v>
      </x:c>
      <x:c r="B129" t="str">
        <x:v>May/2025</x:v>
      </x:c>
      <x:c r="C129" t="str">
        <x:v>Gift Card Xbox</x:v>
      </x:c>
      <x:c r="D129" t="str">
        <x:v>Gift Card</x:v>
      </x:c>
      <x:c r="E129" t="str">
        <x:v>Sul</x:v>
      </x:c>
      <x:c r="F129" t="str">
        <x:v>Ana</x:v>
      </x:c>
      <x:c r="G129" t="str">
        <x:v>E-commerce</x:v>
      </x:c>
      <x:c r="H129" s="14" t="n">
        <x:v>4</x:v>
      </x:c>
      <x:c r="I129" s="12" t="n">
        <x:v>95</x:v>
      </x:c>
      <x:c r="J129" s="12" t="n">
        <x:f>H129*I129</x:f>
        <x:v>380</x:v>
      </x:c>
    </x:row>
    <x:row r="130">
      <x:c r="A130" s="10" t="n">
        <x:v>46021</x:v>
      </x:c>
      <x:c r="B130" t="str">
        <x:v>Dec/2025</x:v>
      </x:c>
      <x:c r="C130" t="str">
        <x:v>Controle Xbox</x:v>
      </x:c>
      <x:c r="D130" t="str">
        <x:v>Acessório</x:v>
      </x:c>
      <x:c r="E130" t="str">
        <x:v>Norte</x:v>
      </x:c>
      <x:c r="F130" t="str">
        <x:v>Daniela</x:v>
      </x:c>
      <x:c r="G130" t="str">
        <x:v>Loja física</x:v>
      </x:c>
      <x:c r="H130" s="14" t="n">
        <x:v>1</x:v>
      </x:c>
      <x:c r="I130" s="12" t="n">
        <x:v>399.9</x:v>
      </x:c>
      <x:c r="J130" s="12" t="n">
        <x:f>H130*I130</x:f>
        <x:v>399.9</x:v>
      </x:c>
    </x:row>
    <x:row r="131">
      <x:c r="A131" s="10" t="n">
        <x:v>45773</x:v>
      </x:c>
      <x:c r="B131" t="str">
        <x:v>Apr/2025</x:v>
      </x:c>
      <x:c r="C131" t="str">
        <x:v>Xbox Series S</x:v>
      </x:c>
      <x:c r="D131" t="str">
        <x:v>Console</x:v>
      </x:c>
      <x:c r="E131" t="str">
        <x:v>Sudeste</x:v>
      </x:c>
      <x:c r="F131" t="str">
        <x:v>Daniela</x:v>
      </x:c>
      <x:c r="G131" t="str">
        <x:v>Marketplace</x:v>
      </x:c>
      <x:c r="H131" s="14" t="n">
        <x:v>2</x:v>
      </x:c>
      <x:c r="I131" s="12" t="n">
        <x:v>2499.9</x:v>
      </x:c>
      <x:c r="J131" s="12" t="n">
        <x:f>H131*I131</x:f>
        <x:v>4999.8</x:v>
      </x:c>
    </x:row>
    <x:row r="132">
      <x:c r="A132" s="10" t="n">
        <x:v>45918</x:v>
      </x:c>
      <x:c r="B132" t="str">
        <x:v>Sep/2025</x:v>
      </x:c>
      <x:c r="C132" t="str">
        <x:v>Game Pass Ultimate</x:v>
      </x:c>
      <x:c r="D132" t="str">
        <x:v>Assinatura</x:v>
      </x:c>
      <x:c r="E132" t="str">
        <x:v>Nordeste</x:v>
      </x:c>
      <x:c r="F132" t="str">
        <x:v>Bruno</x:v>
      </x:c>
      <x:c r="G132" t="str">
        <x:v>Televendas</x:v>
      </x:c>
      <x:c r="H132" s="14" t="n">
        <x:v>1</x:v>
      </x:c>
      <x:c r="I132" s="12" t="n">
        <x:v>56.9</x:v>
      </x:c>
      <x:c r="J132" s="12" t="n">
        <x:f>H132*I132</x:f>
        <x:v>56.9</x:v>
      </x:c>
    </x:row>
    <x:row r="133">
      <x:c r="A133" s="10" t="n">
        <x:v>45940</x:v>
      </x:c>
      <x:c r="B133" t="str">
        <x:v>Oct/2025</x:v>
      </x:c>
      <x:c r="C133" t="str">
        <x:v>Controle Xbox</x:v>
      </x:c>
      <x:c r="D133" t="str">
        <x:v>Acessório</x:v>
      </x:c>
      <x:c r="E133" t="str">
        <x:v>Norte</x:v>
      </x:c>
      <x:c r="F133" t="str">
        <x:v>Fernanda</x:v>
      </x:c>
      <x:c r="G133" t="str">
        <x:v>E-commerce</x:v>
      </x:c>
      <x:c r="H133" s="14" t="n">
        <x:v>1</x:v>
      </x:c>
      <x:c r="I133" s="12" t="n">
        <x:v>359.91</x:v>
      </x:c>
      <x:c r="J133" s="12" t="n">
        <x:f>H133*I133</x:f>
        <x:v>359.91</x:v>
      </x:c>
    </x:row>
    <x:row r="134">
      <x:c r="A134" s="10" t="n">
        <x:v>45693</x:v>
      </x:c>
      <x:c r="B134" t="str">
        <x:v>Feb/2025</x:v>
      </x:c>
      <x:c r="C134" t="str">
        <x:v>Game Pass Ultimate</x:v>
      </x:c>
      <x:c r="D134" t="str">
        <x:v>Assinatura</x:v>
      </x:c>
      <x:c r="E134" t="str">
        <x:v>Centro-Oeste</x:v>
      </x:c>
      <x:c r="F134" t="str">
        <x:v>Eduardo</x:v>
      </x:c>
      <x:c r="G134" t="str">
        <x:v>Marketplace</x:v>
      </x:c>
      <x:c r="H134" s="14" t="n">
        <x:v>3</x:v>
      </x:c>
      <x:c r="I134" s="12" t="n">
        <x:v>56.9</x:v>
      </x:c>
      <x:c r="J134" s="12" t="n">
        <x:f>H134*I134</x:f>
        <x:v>170.7</x:v>
      </x:c>
    </x:row>
    <x:row r="135">
      <x:c r="A135" s="10" t="n">
        <x:v>45659</x:v>
      </x:c>
      <x:c r="B135" t="str">
        <x:v>Jan/2025</x:v>
      </x:c>
      <x:c r="C135" t="str">
        <x:v>Game Pass Ultimate</x:v>
      </x:c>
      <x:c r="D135" t="str">
        <x:v>Assinatura</x:v>
      </x:c>
      <x:c r="E135" t="str">
        <x:v>Norte</x:v>
      </x:c>
      <x:c r="F135" t="str">
        <x:v>Fernanda</x:v>
      </x:c>
      <x:c r="G135" t="str">
        <x:v>Televendas</x:v>
      </x:c>
      <x:c r="H135" s="14" t="n">
        <x:v>3</x:v>
      </x:c>
      <x:c r="I135" s="12" t="n">
        <x:v>53.91</x:v>
      </x:c>
      <x:c r="J135" s="12" t="n">
        <x:f>H135*I135</x:f>
        <x:v>161.73</x:v>
      </x:c>
    </x:row>
    <x:row r="136">
      <x:c r="A136" s="10" t="n">
        <x:v>45734</x:v>
      </x:c>
      <x:c r="B136" t="str">
        <x:v>Mar/2025</x:v>
      </x:c>
      <x:c r="C136" t="str">
        <x:v>Gift Card Xbox</x:v>
      </x:c>
      <x:c r="D136" t="str">
        <x:v>Gift Card</x:v>
      </x:c>
      <x:c r="E136" t="str">
        <x:v>Centro-Oeste</x:v>
      </x:c>
      <x:c r="F136" t="str">
        <x:v>Eduardo</x:v>
      </x:c>
      <x:c r="G136" t="str">
        <x:v>Televendas</x:v>
      </x:c>
      <x:c r="H136" s="14" t="n">
        <x:v>2</x:v>
      </x:c>
      <x:c r="I136" s="12" t="n">
        <x:v>100</x:v>
      </x:c>
      <x:c r="J136" s="12" t="n">
        <x:f>H136*I136</x:f>
        <x:v>200</x:v>
      </x:c>
    </x:row>
    <x:row r="137">
      <x:c r="A137" s="10" t="n">
        <x:v>45891</x:v>
      </x:c>
      <x:c r="B137" t="str">
        <x:v>Aug/2025</x:v>
      </x:c>
      <x:c r="C137" t="str">
        <x:v>Forza Horizon 5</x:v>
      </x:c>
      <x:c r="D137" t="str">
        <x:v>Jogo</x:v>
      </x:c>
      <x:c r="E137" t="str">
        <x:v>Norte</x:v>
      </x:c>
      <x:c r="F137" t="str">
        <x:v>Daniela</x:v>
      </x:c>
      <x:c r="G137" t="str">
        <x:v>E-commerce</x:v>
      </x:c>
      <x:c r="H137" s="14" t="n">
        <x:v>4</x:v>
      </x:c>
      <x:c r="I137" s="12" t="n">
        <x:v>249.9</x:v>
      </x:c>
      <x:c r="J137" s="12" t="n">
        <x:f>H137*I137</x:f>
        <x:v>999.6</x:v>
      </x:c>
    </x:row>
    <x:row r="138">
      <x:c r="A138" s="10" t="n">
        <x:v>45868</x:v>
      </x:c>
      <x:c r="B138" t="str">
        <x:v>Jul/2025</x:v>
      </x:c>
      <x:c r="C138" t="str">
        <x:v>Xbox Series X</x:v>
      </x:c>
      <x:c r="D138" t="str">
        <x:v>Console</x:v>
      </x:c>
      <x:c r="E138" t="str">
        <x:v>Nordeste</x:v>
      </x:c>
      <x:c r="F138" t="str">
        <x:v>Daniela</x:v>
      </x:c>
      <x:c r="G138" t="str">
        <x:v>E-commerce</x:v>
      </x:c>
      <x:c r="H138" s="14" t="n">
        <x:v>1</x:v>
      </x:c>
      <x:c r="I138" s="12" t="n">
        <x:v>4274.9</x:v>
      </x:c>
      <x:c r="J138" s="12" t="n">
        <x:f>H138*I138</x:f>
        <x:v>4274.9</x:v>
      </x:c>
    </x:row>
    <x:row r="139">
      <x:c r="A139" s="10" t="n">
        <x:v>45911</x:v>
      </x:c>
      <x:c r="B139" t="str">
        <x:v>Sep/2025</x:v>
      </x:c>
      <x:c r="C139" t="str">
        <x:v>Xbox Series X</x:v>
      </x:c>
      <x:c r="D139" t="str">
        <x:v>Console</x:v>
      </x:c>
      <x:c r="E139" t="str">
        <x:v>Centro-Oeste</x:v>
      </x:c>
      <x:c r="F139" t="str">
        <x:v>Ana</x:v>
      </x:c>
      <x:c r="G139" t="str">
        <x:v>Televendas</x:v>
      </x:c>
      <x:c r="H139" s="14" t="n">
        <x:v>1</x:v>
      </x:c>
      <x:c r="I139" s="12" t="n">
        <x:v>4049.91</x:v>
      </x:c>
      <x:c r="J139" s="12" t="n">
        <x:f>H139*I139</x:f>
        <x:v>4049.91</x:v>
      </x:c>
    </x:row>
    <x:row r="140">
      <x:c r="A140" s="10" t="n">
        <x:v>45709</x:v>
      </x:c>
      <x:c r="B140" t="str">
        <x:v>Feb/2025</x:v>
      </x:c>
      <x:c r="C140" t="str">
        <x:v>Gift Card Xbox</x:v>
      </x:c>
      <x:c r="D140" t="str">
        <x:v>Gift Card</x:v>
      </x:c>
      <x:c r="E140" t="str">
        <x:v>Nordeste</x:v>
      </x:c>
      <x:c r="F140" t="str">
        <x:v>Fernanda</x:v>
      </x:c>
      <x:c r="G140" t="str">
        <x:v>E-commerce</x:v>
      </x:c>
      <x:c r="H140" s="14" t="n">
        <x:v>1</x:v>
      </x:c>
      <x:c r="I140" s="12" t="n">
        <x:v>100</x:v>
      </x:c>
      <x:c r="J140" s="12" t="n">
        <x:f>H140*I140</x:f>
        <x:v>100</x:v>
      </x:c>
    </x:row>
    <x:row r="141">
      <x:c r="A141" s="10" t="n">
        <x:v>45696</x:v>
      </x:c>
      <x:c r="B141" t="str">
        <x:v>Feb/2025</x:v>
      </x:c>
      <x:c r="C141" t="str">
        <x:v>Gift Card Xbox</x:v>
      </x:c>
      <x:c r="D141" t="str">
        <x:v>Gift Card</x:v>
      </x:c>
      <x:c r="E141" t="str">
        <x:v>Centro-Oeste</x:v>
      </x:c>
      <x:c r="F141" t="str">
        <x:v>Eduardo</x:v>
      </x:c>
      <x:c r="G141" t="str">
        <x:v>Televendas</x:v>
      </x:c>
      <x:c r="H141" s="14" t="n">
        <x:v>3</x:v>
      </x:c>
      <x:c r="I141" s="12" t="n">
        <x:v>100</x:v>
      </x:c>
      <x:c r="J141" s="12" t="n">
        <x:f>H141*I141</x:f>
        <x:v>300</x:v>
      </x:c>
    </x:row>
    <x:row r="142">
      <x:c r="A142" s="10" t="n">
        <x:v>45990</x:v>
      </x:c>
      <x:c r="B142" t="str">
        <x:v>Nov/2025</x:v>
      </x:c>
      <x:c r="C142" t="str">
        <x:v>Xbox Series S</x:v>
      </x:c>
      <x:c r="D142" t="str">
        <x:v>Console</x:v>
      </x:c>
      <x:c r="E142" t="str">
        <x:v>Nordeste</x:v>
      </x:c>
      <x:c r="F142" t="str">
        <x:v>Carlos</x:v>
      </x:c>
      <x:c r="G142" t="str">
        <x:v>Televendas</x:v>
      </x:c>
      <x:c r="H142" s="14" t="n">
        <x:v>4</x:v>
      </x:c>
      <x:c r="I142" s="12" t="n">
        <x:v>2249.91</x:v>
      </x:c>
      <x:c r="J142" s="12" t="n">
        <x:f>H142*I142</x:f>
        <x:v>8999.64</x:v>
      </x:c>
    </x:row>
    <x:row r="143">
      <x:c r="A143" s="10" t="n">
        <x:v>45935</x:v>
      </x:c>
      <x:c r="B143" t="str">
        <x:v>Oct/2025</x:v>
      </x:c>
      <x:c r="C143" t="str">
        <x:v>Xbox Series X</x:v>
      </x:c>
      <x:c r="D143" t="str">
        <x:v>Console</x:v>
      </x:c>
      <x:c r="E143" t="str">
        <x:v>Centro-Oeste</x:v>
      </x:c>
      <x:c r="F143" t="str">
        <x:v>Bruno</x:v>
      </x:c>
      <x:c r="G143" t="str">
        <x:v>Loja física</x:v>
      </x:c>
      <x:c r="H143" s="14" t="n">
        <x:v>2</x:v>
      </x:c>
      <x:c r="I143" s="12" t="n">
        <x:v>4499.9</x:v>
      </x:c>
      <x:c r="J143" s="12" t="n">
        <x:f>H143*I143</x:f>
        <x:v>8999.8</x:v>
      </x:c>
    </x:row>
    <x:row r="144">
      <x:c r="A144" s="10" t="n">
        <x:v>45880</x:v>
      </x:c>
      <x:c r="B144" t="str">
        <x:v>Aug/2025</x:v>
      </x:c>
      <x:c r="C144" t="str">
        <x:v>Xbox Series S</x:v>
      </x:c>
      <x:c r="D144" t="str">
        <x:v>Console</x:v>
      </x:c>
      <x:c r="E144" t="str">
        <x:v>Nordeste</x:v>
      </x:c>
      <x:c r="F144" t="str">
        <x:v>Bruno</x:v>
      </x:c>
      <x:c r="G144" t="str">
        <x:v>Marketplace</x:v>
      </x:c>
      <x:c r="H144" s="14" t="n">
        <x:v>3</x:v>
      </x:c>
      <x:c r="I144" s="12" t="n">
        <x:v>2499.9</x:v>
      </x:c>
      <x:c r="J144" s="12" t="n">
        <x:f>H144*I144</x:f>
        <x:v>7499.700000000001</x:v>
      </x:c>
    </x:row>
    <x:row r="145">
      <x:c r="A145" s="10" t="n">
        <x:v>45672</x:v>
      </x:c>
      <x:c r="B145" t="str">
        <x:v>Jan/2025</x:v>
      </x:c>
      <x:c r="C145" t="str">
        <x:v>Xbox Series X</x:v>
      </x:c>
      <x:c r="D145" t="str">
        <x:v>Console</x:v>
      </x:c>
      <x:c r="E145" t="str">
        <x:v>Centro-Oeste</x:v>
      </x:c>
      <x:c r="F145" t="str">
        <x:v>Carlos</x:v>
      </x:c>
      <x:c r="G145" t="str">
        <x:v>Marketplace</x:v>
      </x:c>
      <x:c r="H145" s="14" t="n">
        <x:v>1</x:v>
      </x:c>
      <x:c r="I145" s="12" t="n">
        <x:v>4499.9</x:v>
      </x:c>
      <x:c r="J145" s="12" t="n">
        <x:f>H145*I145</x:f>
        <x:v>4499.9</x:v>
      </x:c>
    </x:row>
    <x:row r="146">
      <x:c r="A146" s="10" t="n">
        <x:v>45878</x:v>
      </x:c>
      <x:c r="B146" t="str">
        <x:v>Aug/2025</x:v>
      </x:c>
      <x:c r="C146" t="str">
        <x:v>Controle Xbox</x:v>
      </x:c>
      <x:c r="D146" t="str">
        <x:v>Acessório</x:v>
      </x:c>
      <x:c r="E146" t="str">
        <x:v>Norte</x:v>
      </x:c>
      <x:c r="F146" t="str">
        <x:v>Fernanda</x:v>
      </x:c>
      <x:c r="G146" t="str">
        <x:v>E-commerce</x:v>
      </x:c>
      <x:c r="H146" s="14" t="n">
        <x:v>1</x:v>
      </x:c>
      <x:c r="I146" s="12" t="n">
        <x:v>379.9</x:v>
      </x:c>
      <x:c r="J146" s="12" t="n">
        <x:f>H146*I146</x:f>
        <x:v>379.9</x:v>
      </x:c>
    </x:row>
    <x:row r="147">
      <x:c r="A147" s="10" t="n">
        <x:v>45745</x:v>
      </x:c>
      <x:c r="B147" t="str">
        <x:v>Mar/2025</x:v>
      </x:c>
      <x:c r="C147" t="str">
        <x:v>Controle Xbox</x:v>
      </x:c>
      <x:c r="D147" t="str">
        <x:v>Acessório</x:v>
      </x:c>
      <x:c r="E147" t="str">
        <x:v>Norte</x:v>
      </x:c>
      <x:c r="F147" t="str">
        <x:v>Fernanda</x:v>
      </x:c>
      <x:c r="G147" t="str">
        <x:v>E-commerce</x:v>
      </x:c>
      <x:c r="H147" s="14" t="n">
        <x:v>1</x:v>
      </x:c>
      <x:c r="I147" s="12" t="n">
        <x:v>379.9</x:v>
      </x:c>
      <x:c r="J147" s="12" t="n">
        <x:f>H147*I147</x:f>
        <x:v>379.9</x:v>
      </x:c>
    </x:row>
    <x:row r="148">
      <x:c r="A148" s="10" t="n">
        <x:v>45912</x:v>
      </x:c>
      <x:c r="B148" t="str">
        <x:v>Sep/2025</x:v>
      </x:c>
      <x:c r="C148" t="str">
        <x:v>Controle Xbox</x:v>
      </x:c>
      <x:c r="D148" t="str">
        <x:v>Acessório</x:v>
      </x:c>
      <x:c r="E148" t="str">
        <x:v>Nordeste</x:v>
      </x:c>
      <x:c r="F148" t="str">
        <x:v>Carlos</x:v>
      </x:c>
      <x:c r="G148" t="str">
        <x:v>Loja física</x:v>
      </x:c>
      <x:c r="H148" s="14" t="n">
        <x:v>1</x:v>
      </x:c>
      <x:c r="I148" s="12" t="n">
        <x:v>399.9</x:v>
      </x:c>
      <x:c r="J148" s="12" t="n">
        <x:f>H148*I148</x:f>
        <x:v>399.9</x:v>
      </x:c>
    </x:row>
    <x:row r="149">
      <x:c r="A149" s="10" t="n">
        <x:v>45896</x:v>
      </x:c>
      <x:c r="B149" t="str">
        <x:v>Aug/2025</x:v>
      </x:c>
      <x:c r="C149" t="str">
        <x:v>Game Pass Ultimate</x:v>
      </x:c>
      <x:c r="D149" t="str">
        <x:v>Assinatura</x:v>
      </x:c>
      <x:c r="E149" t="str">
        <x:v>Sul</x:v>
      </x:c>
      <x:c r="F149" t="str">
        <x:v>Daniela</x:v>
      </x:c>
      <x:c r="G149" t="str">
        <x:v>Marketplace</x:v>
      </x:c>
      <x:c r="H149" s="14" t="n">
        <x:v>2</x:v>
      </x:c>
      <x:c r="I149" s="12" t="n">
        <x:v>59.9</x:v>
      </x:c>
      <x:c r="J149" s="12" t="n">
        <x:f>H149*I149</x:f>
        <x:v>119.8</x:v>
      </x:c>
    </x:row>
    <x:row r="150">
      <x:c r="A150" s="10" t="n">
        <x:v>45958</x:v>
      </x:c>
      <x:c r="B150" t="str">
        <x:v>Oct/2025</x:v>
      </x:c>
      <x:c r="C150" t="str">
        <x:v>Game Pass Ultimate</x:v>
      </x:c>
      <x:c r="D150" t="str">
        <x:v>Assinatura</x:v>
      </x:c>
      <x:c r="E150" t="str">
        <x:v>Centro-Oeste</x:v>
      </x:c>
      <x:c r="F150" t="str">
        <x:v>Daniela</x:v>
      </x:c>
      <x:c r="G150" t="str">
        <x:v>Marketplace</x:v>
      </x:c>
      <x:c r="H150" s="14" t="n">
        <x:v>2</x:v>
      </x:c>
      <x:c r="I150" s="12" t="n">
        <x:v>56.9</x:v>
      </x:c>
      <x:c r="J150" s="12" t="n">
        <x:f>H150*I150</x:f>
        <x:v>113.8</x:v>
      </x:c>
    </x:row>
    <x:row r="151">
      <x:c r="A151" s="10" t="n">
        <x:v>45759</x:v>
      </x:c>
      <x:c r="B151" t="str">
        <x:v>Apr/2025</x:v>
      </x:c>
      <x:c r="C151" t="str">
        <x:v>Halo Infinite</x:v>
      </x:c>
      <x:c r="D151" t="str">
        <x:v>Jogo</x:v>
      </x:c>
      <x:c r="E151" t="str">
        <x:v>Sudeste</x:v>
      </x:c>
      <x:c r="F151" t="str">
        <x:v>Daniela</x:v>
      </x:c>
      <x:c r="G151" t="str">
        <x:v>Marketplace</x:v>
      </x:c>
      <x:c r="H151" s="14" t="n">
        <x:v>4</x:v>
      </x:c>
      <x:c r="I151" s="12" t="n">
        <x:v>199.9</x:v>
      </x:c>
      <x:c r="J151" s="12" t="n">
        <x:f>H151*I151</x:f>
        <x:v>799.6</x:v>
      </x:c>
    </x:row>
    <x:row r="152">
      <x:c r="A152" s="10" t="n">
        <x:v>45952</x:v>
      </x:c>
      <x:c r="B152" t="str">
        <x:v>Oct/2025</x:v>
      </x:c>
      <x:c r="C152" t="str">
        <x:v>Game Pass Ultimate</x:v>
      </x:c>
      <x:c r="D152" t="str">
        <x:v>Assinatura</x:v>
      </x:c>
      <x:c r="E152" t="str">
        <x:v>Sul</x:v>
      </x:c>
      <x:c r="F152" t="str">
        <x:v>Fernanda</x:v>
      </x:c>
      <x:c r="G152" t="str">
        <x:v>Televendas</x:v>
      </x:c>
      <x:c r="H152" s="14" t="n">
        <x:v>5</x:v>
      </x:c>
      <x:c r="I152" s="12" t="n">
        <x:v>59.9</x:v>
      </x:c>
      <x:c r="J152" s="12" t="n">
        <x:f>H152*I152</x:f>
        <x:v>299.5</x:v>
      </x:c>
    </x:row>
    <x:row r="153">
      <x:c r="A153" s="10" t="n">
        <x:v>45798</x:v>
      </x:c>
      <x:c r="B153" t="str">
        <x:v>May/2025</x:v>
      </x:c>
      <x:c r="C153" t="str">
        <x:v>Xbox Series X</x:v>
      </x:c>
      <x:c r="D153" t="str">
        <x:v>Console</x:v>
      </x:c>
      <x:c r="E153" t="str">
        <x:v>Norte</x:v>
      </x:c>
      <x:c r="F153" t="str">
        <x:v>Fernanda</x:v>
      </x:c>
      <x:c r="G153" t="str">
        <x:v>Televendas</x:v>
      </x:c>
      <x:c r="H153" s="14" t="n">
        <x:v>2</x:v>
      </x:c>
      <x:c r="I153" s="12" t="n">
        <x:v>4499.9</x:v>
      </x:c>
      <x:c r="J153" s="12" t="n">
        <x:f>H153*I153</x:f>
        <x:v>8999.8</x:v>
      </x:c>
    </x:row>
    <x:row r="154">
      <x:c r="A154" s="10" t="n">
        <x:v>45804</x:v>
      </x:c>
      <x:c r="B154" t="str">
        <x:v>May/2025</x:v>
      </x:c>
      <x:c r="C154" t="str">
        <x:v>Headset Xbox</x:v>
      </x:c>
      <x:c r="D154" t="str">
        <x:v>Acessório</x:v>
      </x:c>
      <x:c r="E154" t="str">
        <x:v>Sudeste</x:v>
      </x:c>
      <x:c r="F154" t="str">
        <x:v>Fernanda</x:v>
      </x:c>
      <x:c r="G154" t="str">
        <x:v>E-commerce</x:v>
      </x:c>
      <x:c r="H154" s="14" t="n">
        <x:v>2</x:v>
      </x:c>
      <x:c r="I154" s="12" t="n">
        <x:v>299.9</x:v>
      </x:c>
      <x:c r="J154" s="12" t="n">
        <x:f>H154*I154</x:f>
        <x:v>599.8</x:v>
      </x:c>
    </x:row>
    <x:row r="155">
      <x:c r="A155" s="10" t="n">
        <x:v>45975</x:v>
      </x:c>
      <x:c r="B155" t="str">
        <x:v>Nov/2025</x:v>
      </x:c>
      <x:c r="C155" t="str">
        <x:v>Game Pass Ultimate</x:v>
      </x:c>
      <x:c r="D155" t="str">
        <x:v>Assinatura</x:v>
      </x:c>
      <x:c r="E155" t="str">
        <x:v>Sul</x:v>
      </x:c>
      <x:c r="F155" t="str">
        <x:v>Fernanda</x:v>
      </x:c>
      <x:c r="G155" t="str">
        <x:v>Loja física</x:v>
      </x:c>
      <x:c r="H155" s="14" t="n">
        <x:v>2</x:v>
      </x:c>
      <x:c r="I155" s="12" t="n">
        <x:v>59.9</x:v>
      </x:c>
      <x:c r="J155" s="12" t="n">
        <x:f>H155*I155</x:f>
        <x:v>119.8</x:v>
      </x:c>
    </x:row>
    <x:row r="156">
      <x:c r="A156" s="10" t="n">
        <x:v>45816</x:v>
      </x:c>
      <x:c r="B156" t="str">
        <x:v>Jun/2025</x:v>
      </x:c>
      <x:c r="C156" t="str">
        <x:v>Gift Card Xbox</x:v>
      </x:c>
      <x:c r="D156" t="str">
        <x:v>Gift Card</x:v>
      </x:c>
      <x:c r="E156" t="str">
        <x:v>Sudeste</x:v>
      </x:c>
      <x:c r="F156" t="str">
        <x:v>Ana</x:v>
      </x:c>
      <x:c r="G156" t="str">
        <x:v>Marketplace</x:v>
      </x:c>
      <x:c r="H156" s="14" t="n">
        <x:v>1</x:v>
      </x:c>
      <x:c r="I156" s="12" t="n">
        <x:v>100</x:v>
      </x:c>
      <x:c r="J156" s="12" t="n">
        <x:f>H156*I156</x:f>
        <x:v>100</x:v>
      </x:c>
    </x:row>
    <x:row r="157">
      <x:c r="A157" s="10" t="n">
        <x:v>45825</x:v>
      </x:c>
      <x:c r="B157" t="str">
        <x:v>Jun/2025</x:v>
      </x:c>
      <x:c r="C157" t="str">
        <x:v>Halo Infinite</x:v>
      </x:c>
      <x:c r="D157" t="str">
        <x:v>Jogo</x:v>
      </x:c>
      <x:c r="E157" t="str">
        <x:v>Norte</x:v>
      </x:c>
      <x:c r="F157" t="str">
        <x:v>Carlos</x:v>
      </x:c>
      <x:c r="G157" t="str">
        <x:v>Marketplace</x:v>
      </x:c>
      <x:c r="H157" s="14" t="n">
        <x:v>1</x:v>
      </x:c>
      <x:c r="I157" s="12" t="n">
        <x:v>199.9</x:v>
      </x:c>
      <x:c r="J157" s="12" t="n">
        <x:f>H157*I157</x:f>
        <x:v>199.9</x:v>
      </x:c>
    </x:row>
    <x:row r="158">
      <x:c r="A158" s="10" t="n">
        <x:v>45742</x:v>
      </x:c>
      <x:c r="B158" t="str">
        <x:v>Mar/2025</x:v>
      </x:c>
      <x:c r="C158" t="str">
        <x:v>Game Pass Ultimate</x:v>
      </x:c>
      <x:c r="D158" t="str">
        <x:v>Assinatura</x:v>
      </x:c>
      <x:c r="E158" t="str">
        <x:v>Centro-Oeste</x:v>
      </x:c>
      <x:c r="F158" t="str">
        <x:v>Fernanda</x:v>
      </x:c>
      <x:c r="G158" t="str">
        <x:v>Marketplace</x:v>
      </x:c>
      <x:c r="H158" s="14" t="n">
        <x:v>4</x:v>
      </x:c>
      <x:c r="I158" s="12" t="n">
        <x:v>56.9</x:v>
      </x:c>
      <x:c r="J158" s="12" t="n">
        <x:f>H158*I158</x:f>
        <x:v>227.6</x:v>
      </x:c>
    </x:row>
    <x:row r="159">
      <x:c r="A159" s="10" t="n">
        <x:v>45716</x:v>
      </x:c>
      <x:c r="B159" t="str">
        <x:v>Feb/2025</x:v>
      </x:c>
      <x:c r="C159" t="str">
        <x:v>Gift Card Xbox</x:v>
      </x:c>
      <x:c r="D159" t="str">
        <x:v>Gift Card</x:v>
      </x:c>
      <x:c r="E159" t="str">
        <x:v>Sudeste</x:v>
      </x:c>
      <x:c r="F159" t="str">
        <x:v>Fernanda</x:v>
      </x:c>
      <x:c r="G159" t="str">
        <x:v>Televendas</x:v>
      </x:c>
      <x:c r="H159" s="14" t="n">
        <x:v>5</x:v>
      </x:c>
      <x:c r="I159" s="12" t="n">
        <x:v>100</x:v>
      </x:c>
      <x:c r="J159" s="12" t="n">
        <x:f>H159*I159</x:f>
        <x:v>500</x:v>
      </x:c>
    </x:row>
    <x:row r="160">
      <x:c r="A160" s="10" t="n">
        <x:v>45943</x:v>
      </x:c>
      <x:c r="B160" t="str">
        <x:v>Oct/2025</x:v>
      </x:c>
      <x:c r="C160" t="str">
        <x:v>Forza Horizon 5</x:v>
      </x:c>
      <x:c r="D160" t="str">
        <x:v>Jogo</x:v>
      </x:c>
      <x:c r="E160" t="str">
        <x:v>Sul</x:v>
      </x:c>
      <x:c r="F160" t="str">
        <x:v>Carlos</x:v>
      </x:c>
      <x:c r="G160" t="str">
        <x:v>Loja física</x:v>
      </x:c>
      <x:c r="H160" s="14" t="n">
        <x:v>1</x:v>
      </x:c>
      <x:c r="I160" s="12" t="n">
        <x:v>237.41</x:v>
      </x:c>
      <x:c r="J160" s="12" t="n">
        <x:f>H160*I160</x:f>
        <x:v>237.41</x:v>
      </x:c>
    </x:row>
    <x:row r="161">
      <x:c r="A161" s="10" t="n">
        <x:v>45890</x:v>
      </x:c>
      <x:c r="B161" t="str">
        <x:v>Aug/2025</x:v>
      </x:c>
      <x:c r="C161" t="str">
        <x:v>Forza Horizon 5</x:v>
      </x:c>
      <x:c r="D161" t="str">
        <x:v>Jogo</x:v>
      </x:c>
      <x:c r="E161" t="str">
        <x:v>Norte</x:v>
      </x:c>
      <x:c r="F161" t="str">
        <x:v>Daniela</x:v>
      </x:c>
      <x:c r="G161" t="str">
        <x:v>Marketplace</x:v>
      </x:c>
      <x:c r="H161" s="14" t="n">
        <x:v>2</x:v>
      </x:c>
      <x:c r="I161" s="12" t="n">
        <x:v>249.9</x:v>
      </x:c>
      <x:c r="J161" s="12" t="n">
        <x:f>H161*I161</x:f>
        <x:v>499.8</x:v>
      </x:c>
    </x:row>
    <x:row r="162">
      <x:c r="A162" s="10" t="n">
        <x:v>45713</x:v>
      </x:c>
      <x:c r="B162" t="str">
        <x:v>Feb/2025</x:v>
      </x:c>
      <x:c r="C162" t="str">
        <x:v>Headset Xbox</x:v>
      </x:c>
      <x:c r="D162" t="str">
        <x:v>Acessório</x:v>
      </x:c>
      <x:c r="E162" t="str">
        <x:v>Norte</x:v>
      </x:c>
      <x:c r="F162" t="str">
        <x:v>Carlos</x:v>
      </x:c>
      <x:c r="G162" t="str">
        <x:v>E-commerce</x:v>
      </x:c>
      <x:c r="H162" s="14" t="n">
        <x:v>2</x:v>
      </x:c>
      <x:c r="I162" s="12" t="n">
        <x:v>269.91</x:v>
      </x:c>
      <x:c r="J162" s="12" t="n">
        <x:f>H162*I162</x:f>
        <x:v>539.82</x:v>
      </x:c>
    </x:row>
    <x:row r="163">
      <x:c r="A163" s="10" t="n">
        <x:v>45989</x:v>
      </x:c>
      <x:c r="B163" t="str">
        <x:v>Nov/2025</x:v>
      </x:c>
      <x:c r="C163" t="str">
        <x:v>Xbox Series S</x:v>
      </x:c>
      <x:c r="D163" t="str">
        <x:v>Console</x:v>
      </x:c>
      <x:c r="E163" t="str">
        <x:v>Centro-Oeste</x:v>
      </x:c>
      <x:c r="F163" t="str">
        <x:v>Fernanda</x:v>
      </x:c>
      <x:c r="G163" t="str">
        <x:v>Televendas</x:v>
      </x:c>
      <x:c r="H163" s="14" t="n">
        <x:v>2</x:v>
      </x:c>
      <x:c r="I163" s="12" t="n">
        <x:v>2374.91</x:v>
      </x:c>
      <x:c r="J163" s="12" t="n">
        <x:f>H163*I163</x:f>
        <x:v>4749.82</x:v>
      </x:c>
    </x:row>
    <x:row r="164">
      <x:c r="A164" s="10" t="n">
        <x:v>45717</x:v>
      </x:c>
      <x:c r="B164" t="str">
        <x:v>Mar/2025</x:v>
      </x:c>
      <x:c r="C164" t="str">
        <x:v>Controle Xbox</x:v>
      </x:c>
      <x:c r="D164" t="str">
        <x:v>Acessório</x:v>
      </x:c>
      <x:c r="E164" t="str">
        <x:v>Centro-Oeste</x:v>
      </x:c>
      <x:c r="F164" t="str">
        <x:v>Daniela</x:v>
      </x:c>
      <x:c r="G164" t="str">
        <x:v>Loja física</x:v>
      </x:c>
      <x:c r="H164" s="14" t="n">
        <x:v>1</x:v>
      </x:c>
      <x:c r="I164" s="12" t="n">
        <x:v>399.9</x:v>
      </x:c>
      <x:c r="J164" s="12" t="n">
        <x:f>H164*I164</x:f>
        <x:v>399.9</x:v>
      </x:c>
    </x:row>
    <x:row r="165">
      <x:c r="A165" s="10" t="n">
        <x:v>45707</x:v>
      </x:c>
      <x:c r="B165" t="str">
        <x:v>Feb/2025</x:v>
      </x:c>
      <x:c r="C165" t="str">
        <x:v>Headset Xbox</x:v>
      </x:c>
      <x:c r="D165" t="str">
        <x:v>Acessório</x:v>
      </x:c>
      <x:c r="E165" t="str">
        <x:v>Nordeste</x:v>
      </x:c>
      <x:c r="F165" t="str">
        <x:v>Daniela</x:v>
      </x:c>
      <x:c r="G165" t="str">
        <x:v>Marketplace</x:v>
      </x:c>
      <x:c r="H165" s="14" t="n">
        <x:v>4</x:v>
      </x:c>
      <x:c r="I165" s="12" t="n">
        <x:v>299.9</x:v>
      </x:c>
      <x:c r="J165" s="12" t="n">
        <x:f>H165*I165</x:f>
        <x:v>1199.6</x:v>
      </x:c>
    </x:row>
    <x:row r="166">
      <x:c r="A166" s="10" t="n">
        <x:v>46001</x:v>
      </x:c>
      <x:c r="B166" t="str">
        <x:v>Dec/2025</x:v>
      </x:c>
      <x:c r="C166" t="str">
        <x:v>Halo Infinite</x:v>
      </x:c>
      <x:c r="D166" t="str">
        <x:v>Jogo</x:v>
      </x:c>
      <x:c r="E166" t="str">
        <x:v>Nordeste</x:v>
      </x:c>
      <x:c r="F166" t="str">
        <x:v>Fernanda</x:v>
      </x:c>
      <x:c r="G166" t="str">
        <x:v>Loja física</x:v>
      </x:c>
      <x:c r="H166" s="14" t="n">
        <x:v>2</x:v>
      </x:c>
      <x:c r="I166" s="12" t="n">
        <x:v>199.9</x:v>
      </x:c>
      <x:c r="J166" s="12" t="n">
        <x:f>H166*I166</x:f>
        <x:v>399.8</x:v>
      </x:c>
    </x:row>
    <x:row r="167">
      <x:c r="A167" s="10" t="n">
        <x:v>45908</x:v>
      </x:c>
      <x:c r="B167" t="str">
        <x:v>Sep/2025</x:v>
      </x:c>
      <x:c r="C167" t="str">
        <x:v>Halo Infinite</x:v>
      </x:c>
      <x:c r="D167" t="str">
        <x:v>Jogo</x:v>
      </x:c>
      <x:c r="E167" t="str">
        <x:v>Sul</x:v>
      </x:c>
      <x:c r="F167" t="str">
        <x:v>Fernanda</x:v>
      </x:c>
      <x:c r="G167" t="str">
        <x:v>Marketplace</x:v>
      </x:c>
      <x:c r="H167" s="14" t="n">
        <x:v>4</x:v>
      </x:c>
      <x:c r="I167" s="12" t="n">
        <x:v>199.9</x:v>
      </x:c>
      <x:c r="J167" s="12" t="n">
        <x:f>H167*I167</x:f>
        <x:v>799.6</x:v>
      </x:c>
    </x:row>
    <x:row r="168">
      <x:c r="A168" s="10" t="n">
        <x:v>45769</x:v>
      </x:c>
      <x:c r="B168" t="str">
        <x:v>Apr/2025</x:v>
      </x:c>
      <x:c r="C168" t="str">
        <x:v>Gift Card Xbox</x:v>
      </x:c>
      <x:c r="D168" t="str">
        <x:v>Gift Card</x:v>
      </x:c>
      <x:c r="E168" t="str">
        <x:v>Centro-Oeste</x:v>
      </x:c>
      <x:c r="F168" t="str">
        <x:v>Ana</x:v>
      </x:c>
      <x:c r="G168" t="str">
        <x:v>Marketplace</x:v>
      </x:c>
      <x:c r="H168" s="14" t="n">
        <x:v>1</x:v>
      </x:c>
      <x:c r="I168" s="12" t="n">
        <x:v>100</x:v>
      </x:c>
      <x:c r="J168" s="12" t="n">
        <x:f>H168*I168</x:f>
        <x:v>100</x:v>
      </x:c>
    </x:row>
    <x:row r="169">
      <x:c r="A169" s="10" t="n">
        <x:v>45936</x:v>
      </x:c>
      <x:c r="B169" t="str">
        <x:v>Oct/2025</x:v>
      </x:c>
      <x:c r="C169" t="str">
        <x:v>Forza Horizon 5</x:v>
      </x:c>
      <x:c r="D169" t="str">
        <x:v>Jogo</x:v>
      </x:c>
      <x:c r="E169" t="str">
        <x:v>Sudeste</x:v>
      </x:c>
      <x:c r="F169" t="str">
        <x:v>Ana</x:v>
      </x:c>
      <x:c r="G169" t="str">
        <x:v>Televendas</x:v>
      </x:c>
      <x:c r="H169" s="14" t="n">
        <x:v>1</x:v>
      </x:c>
      <x:c r="I169" s="12" t="n">
        <x:v>249.9</x:v>
      </x:c>
      <x:c r="J169" s="12" t="n">
        <x:f>H169*I169</x:f>
        <x:v>249.9</x:v>
      </x:c>
    </x:row>
    <x:row r="170">
      <x:c r="A170" s="10" t="n">
        <x:v>45704</x:v>
      </x:c>
      <x:c r="B170" t="str">
        <x:v>Feb/2025</x:v>
      </x:c>
      <x:c r="C170" t="str">
        <x:v>Headset Xbox</x:v>
      </x:c>
      <x:c r="D170" t="str">
        <x:v>Acessório</x:v>
      </x:c>
      <x:c r="E170" t="str">
        <x:v>Sul</x:v>
      </x:c>
      <x:c r="F170" t="str">
        <x:v>Ana</x:v>
      </x:c>
      <x:c r="G170" t="str">
        <x:v>Marketplace</x:v>
      </x:c>
      <x:c r="H170" s="14" t="n">
        <x:v>2</x:v>
      </x:c>
      <x:c r="I170" s="12" t="n">
        <x:v>269.91</x:v>
      </x:c>
      <x:c r="J170" s="12" t="n">
        <x:f>H170*I170</x:f>
        <x:v>539.82</x:v>
      </x:c>
    </x:row>
    <x:row r="171">
      <x:c r="A171" s="10" t="n">
        <x:v>45782</x:v>
      </x:c>
      <x:c r="B171" t="str">
        <x:v>May/2025</x:v>
      </x:c>
      <x:c r="C171" t="str">
        <x:v>Controle Xbox</x:v>
      </x:c>
      <x:c r="D171" t="str">
        <x:v>Acessório</x:v>
      </x:c>
      <x:c r="E171" t="str">
        <x:v>Sul</x:v>
      </x:c>
      <x:c r="F171" t="str">
        <x:v>Eduardo</x:v>
      </x:c>
      <x:c r="G171" t="str">
        <x:v>E-commerce</x:v>
      </x:c>
      <x:c r="H171" s="14" t="n">
        <x:v>3</x:v>
      </x:c>
      <x:c r="I171" s="12" t="n">
        <x:v>399.9</x:v>
      </x:c>
      <x:c r="J171" s="12" t="n">
        <x:f>H171*I171</x:f>
        <x:v>1199.6999999999998</x:v>
      </x:c>
    </x:row>
    <x:row r="172">
      <x:c r="A172" s="10" t="n">
        <x:v>45958</x:v>
      </x:c>
      <x:c r="B172" t="str">
        <x:v>Oct/2025</x:v>
      </x:c>
      <x:c r="C172" t="str">
        <x:v>Headset Xbox</x:v>
      </x:c>
      <x:c r="D172" t="str">
        <x:v>Acessório</x:v>
      </x:c>
      <x:c r="E172" t="str">
        <x:v>Centro-Oeste</x:v>
      </x:c>
      <x:c r="F172" t="str">
        <x:v>Bruno</x:v>
      </x:c>
      <x:c r="G172" t="str">
        <x:v>Loja física</x:v>
      </x:c>
      <x:c r="H172" s="14" t="n">
        <x:v>3</x:v>
      </x:c>
      <x:c r="I172" s="12" t="n">
        <x:v>299.9</x:v>
      </x:c>
      <x:c r="J172" s="12" t="n">
        <x:f>H172*I172</x:f>
        <x:v>899.6999999999999</x:v>
      </x:c>
    </x:row>
    <x:row r="173">
      <x:c r="A173" s="10" t="n">
        <x:v>45799</x:v>
      </x:c>
      <x:c r="B173" t="str">
        <x:v>May/2025</x:v>
      </x:c>
      <x:c r="C173" t="str">
        <x:v>Controle Xbox</x:v>
      </x:c>
      <x:c r="D173" t="str">
        <x:v>Acessório</x:v>
      </x:c>
      <x:c r="E173" t="str">
        <x:v>Centro-Oeste</x:v>
      </x:c>
      <x:c r="F173" t="str">
        <x:v>Bruno</x:v>
      </x:c>
      <x:c r="G173" t="str">
        <x:v>Loja física</x:v>
      </x:c>
      <x:c r="H173" s="14" t="n">
        <x:v>5</x:v>
      </x:c>
      <x:c r="I173" s="12" t="n">
        <x:v>359.91</x:v>
      </x:c>
      <x:c r="J173" s="12" t="n">
        <x:f>H173*I173</x:f>
        <x:v>1799.5500000000002</x:v>
      </x:c>
    </x:row>
    <x:row r="174">
      <x:c r="A174" s="10" t="n">
        <x:v>45996</x:v>
      </x:c>
      <x:c r="B174" t="str">
        <x:v>Dec/2025</x:v>
      </x:c>
      <x:c r="C174" t="str">
        <x:v>Xbox Series X</x:v>
      </x:c>
      <x:c r="D174" t="str">
        <x:v>Console</x:v>
      </x:c>
      <x:c r="E174" t="str">
        <x:v>Sudeste</x:v>
      </x:c>
      <x:c r="F174" t="str">
        <x:v>Eduardo</x:v>
      </x:c>
      <x:c r="G174" t="str">
        <x:v>Marketplace</x:v>
      </x:c>
      <x:c r="H174" s="14" t="n">
        <x:v>1</x:v>
      </x:c>
      <x:c r="I174" s="12" t="n">
        <x:v>4499.9</x:v>
      </x:c>
      <x:c r="J174" s="12" t="n">
        <x:f>H174*I174</x:f>
        <x:v>4499.9</x:v>
      </x:c>
    </x:row>
    <x:row r="175">
      <x:c r="A175" s="10" t="n">
        <x:v>45666</x:v>
      </x:c>
      <x:c r="B175" t="str">
        <x:v>Jan/2025</x:v>
      </x:c>
      <x:c r="C175" t="str">
        <x:v>Controle Xbox</x:v>
      </x:c>
      <x:c r="D175" t="str">
        <x:v>Acessório</x:v>
      </x:c>
      <x:c r="E175" t="str">
        <x:v>Nordeste</x:v>
      </x:c>
      <x:c r="F175" t="str">
        <x:v>Eduardo</x:v>
      </x:c>
      <x:c r="G175" t="str">
        <x:v>Loja física</x:v>
      </x:c>
      <x:c r="H175" s="14" t="n">
        <x:v>1</x:v>
      </x:c>
      <x:c r="I175" s="12" t="n">
        <x:v>399.9</x:v>
      </x:c>
      <x:c r="J175" s="12" t="n">
        <x:f>H175*I175</x:f>
        <x:v>399.9</x:v>
      </x:c>
    </x:row>
    <x:row r="176">
      <x:c r="A176" s="10" t="n">
        <x:v>45690</x:v>
      </x:c>
      <x:c r="B176" t="str">
        <x:v>Feb/2025</x:v>
      </x:c>
      <x:c r="C176" t="str">
        <x:v>Gift Card Xbox</x:v>
      </x:c>
      <x:c r="D176" t="str">
        <x:v>Gift Card</x:v>
      </x:c>
      <x:c r="E176" t="str">
        <x:v>Norte</x:v>
      </x:c>
      <x:c r="F176" t="str">
        <x:v>Eduardo</x:v>
      </x:c>
      <x:c r="G176" t="str">
        <x:v>Loja física</x:v>
      </x:c>
      <x:c r="H176" s="14" t="n">
        <x:v>1</x:v>
      </x:c>
      <x:c r="I176" s="12" t="n">
        <x:v>100</x:v>
      </x:c>
      <x:c r="J176" s="12" t="n">
        <x:f>H176*I176</x:f>
        <x:v>100</x:v>
      </x:c>
    </x:row>
    <x:row r="177">
      <x:c r="A177" s="10" t="n">
        <x:v>45889</x:v>
      </x:c>
      <x:c r="B177" t="str">
        <x:v>Aug/2025</x:v>
      </x:c>
      <x:c r="C177" t="str">
        <x:v>Headset Xbox</x:v>
      </x:c>
      <x:c r="D177" t="str">
        <x:v>Acessório</x:v>
      </x:c>
      <x:c r="E177" t="str">
        <x:v>Norte</x:v>
      </x:c>
      <x:c r="F177" t="str">
        <x:v>Carlos</x:v>
      </x:c>
      <x:c r="G177" t="str">
        <x:v>Televendas</x:v>
      </x:c>
      <x:c r="H177" s="14" t="n">
        <x:v>4</x:v>
      </x:c>
      <x:c r="I177" s="12" t="n">
        <x:v>299.9</x:v>
      </x:c>
      <x:c r="J177" s="12" t="n">
        <x:f>H177*I177</x:f>
        <x:v>1199.6</x:v>
      </x:c>
    </x:row>
    <x:row r="178">
      <x:c r="A178" s="10" t="n">
        <x:v>45987</x:v>
      </x:c>
      <x:c r="B178" t="str">
        <x:v>Nov/2025</x:v>
      </x:c>
      <x:c r="C178" t="str">
        <x:v>Xbox Series X</x:v>
      </x:c>
      <x:c r="D178" t="str">
        <x:v>Console</x:v>
      </x:c>
      <x:c r="E178" t="str">
        <x:v>Nordeste</x:v>
      </x:c>
      <x:c r="F178" t="str">
        <x:v>Daniela</x:v>
      </x:c>
      <x:c r="G178" t="str">
        <x:v>Loja física</x:v>
      </x:c>
      <x:c r="H178" s="14" t="n">
        <x:v>1</x:v>
      </x:c>
      <x:c r="I178" s="12" t="n">
        <x:v>4274.9</x:v>
      </x:c>
      <x:c r="J178" s="12" t="n">
        <x:f>H178*I178</x:f>
        <x:v>4274.9</x:v>
      </x:c>
    </x:row>
    <x:row r="179">
      <x:c r="A179" s="10" t="n">
        <x:v>45909</x:v>
      </x:c>
      <x:c r="B179" t="str">
        <x:v>Sep/2025</x:v>
      </x:c>
      <x:c r="C179" t="str">
        <x:v>Gift Card Xbox</x:v>
      </x:c>
      <x:c r="D179" t="str">
        <x:v>Gift Card</x:v>
      </x:c>
      <x:c r="E179" t="str">
        <x:v>Centro-Oeste</x:v>
      </x:c>
      <x:c r="F179" t="str">
        <x:v>Eduardo</x:v>
      </x:c>
      <x:c r="G179" t="str">
        <x:v>E-commerce</x:v>
      </x:c>
      <x:c r="H179" s="14" t="n">
        <x:v>1</x:v>
      </x:c>
      <x:c r="I179" s="12" t="n">
        <x:v>100</x:v>
      </x:c>
      <x:c r="J179" s="12" t="n">
        <x:f>H179*I179</x:f>
        <x:v>100</x:v>
      </x:c>
    </x:row>
    <x:row r="180">
      <x:c r="A180" s="10" t="n">
        <x:v>45691</x:v>
      </x:c>
      <x:c r="B180" t="str">
        <x:v>Feb/2025</x:v>
      </x:c>
      <x:c r="C180" t="str">
        <x:v>Controle Xbox</x:v>
      </x:c>
      <x:c r="D180" t="str">
        <x:v>Acessório</x:v>
      </x:c>
      <x:c r="E180" t="str">
        <x:v>Norte</x:v>
      </x:c>
      <x:c r="F180" t="str">
        <x:v>Fernanda</x:v>
      </x:c>
      <x:c r="G180" t="str">
        <x:v>Marketplace</x:v>
      </x:c>
      <x:c r="H180" s="14" t="n">
        <x:v>1</x:v>
      </x:c>
      <x:c r="I180" s="12" t="n">
        <x:v>359.91</x:v>
      </x:c>
      <x:c r="J180" s="12" t="n">
        <x:f>H180*I180</x:f>
        <x:v>359.91</x:v>
      </x:c>
    </x:row>
    <x:row r="181">
      <x:c r="A181" s="10" t="n">
        <x:v>45853</x:v>
      </x:c>
      <x:c r="B181" t="str">
        <x:v>Jul/2025</x:v>
      </x:c>
      <x:c r="C181" t="str">
        <x:v>Game Pass Ultimate</x:v>
      </x:c>
      <x:c r="D181" t="str">
        <x:v>Assinatura</x:v>
      </x:c>
      <x:c r="E181" t="str">
        <x:v>Nordeste</x:v>
      </x:c>
      <x:c r="F181" t="str">
        <x:v>Ana</x:v>
      </x:c>
      <x:c r="G181" t="str">
        <x:v>Loja física</x:v>
      </x:c>
      <x:c r="H181" s="14" t="n">
        <x:v>2</x:v>
      </x:c>
      <x:c r="I181" s="12" t="n">
        <x:v>53.91</x:v>
      </x:c>
      <x:c r="J181" s="12" t="n">
        <x:f>H181*I181</x:f>
        <x:v>107.82</x:v>
      </x:c>
    </x:row>
    <x:row r="182">
      <x:c r="A182" s="10" t="n">
        <x:v>45993</x:v>
      </x:c>
      <x:c r="B182" t="str">
        <x:v>Dec/2025</x:v>
      </x:c>
      <x:c r="C182" t="str">
        <x:v>Headset Xbox</x:v>
      </x:c>
      <x:c r="D182" t="str">
        <x:v>Acessório</x:v>
      </x:c>
      <x:c r="E182" t="str">
        <x:v>Nordeste</x:v>
      </x:c>
      <x:c r="F182" t="str">
        <x:v>Carlos</x:v>
      </x:c>
      <x:c r="G182" t="str">
        <x:v>Televendas</x:v>
      </x:c>
      <x:c r="H182" s="14" t="n">
        <x:v>1</x:v>
      </x:c>
      <x:c r="I182" s="12" t="n">
        <x:v>299.9</x:v>
      </x:c>
      <x:c r="J182" s="12" t="n">
        <x:f>H182*I182</x:f>
        <x:v>299.9</x:v>
      </x:c>
    </x:row>
    <x:row r="183">
      <x:c r="A183" s="10" t="n">
        <x:v>45862</x:v>
      </x:c>
      <x:c r="B183" t="str">
        <x:v>Jul/2025</x:v>
      </x:c>
      <x:c r="C183" t="str">
        <x:v>Halo Infinite</x:v>
      </x:c>
      <x:c r="D183" t="str">
        <x:v>Jogo</x:v>
      </x:c>
      <x:c r="E183" t="str">
        <x:v>Nordeste</x:v>
      </x:c>
      <x:c r="F183" t="str">
        <x:v>Carlos</x:v>
      </x:c>
      <x:c r="G183" t="str">
        <x:v>Marketplace</x:v>
      </x:c>
      <x:c r="H183" s="14" t="n">
        <x:v>3</x:v>
      </x:c>
      <x:c r="I183" s="12" t="n">
        <x:v>199.9</x:v>
      </x:c>
      <x:c r="J183" s="12" t="n">
        <x:f>H183*I183</x:f>
        <x:v>599.7</x:v>
      </x:c>
    </x:row>
    <x:row r="184">
      <x:c r="A184" s="10" t="n">
        <x:v>45849</x:v>
      </x:c>
      <x:c r="B184" t="str">
        <x:v>Jul/2025</x:v>
      </x:c>
      <x:c r="C184" t="str">
        <x:v>Controle Xbox</x:v>
      </x:c>
      <x:c r="D184" t="str">
        <x:v>Acessório</x:v>
      </x:c>
      <x:c r="E184" t="str">
        <x:v>Sul</x:v>
      </x:c>
      <x:c r="F184" t="str">
        <x:v>Ana</x:v>
      </x:c>
      <x:c r="G184" t="str">
        <x:v>Loja física</x:v>
      </x:c>
      <x:c r="H184" s="14" t="n">
        <x:v>2</x:v>
      </x:c>
      <x:c r="I184" s="12" t="n">
        <x:v>379.9</x:v>
      </x:c>
      <x:c r="J184" s="12" t="n">
        <x:f>H184*I184</x:f>
        <x:v>759.8</x:v>
      </x:c>
    </x:row>
    <x:row r="185">
      <x:c r="A185" s="10" t="n">
        <x:v>45705</x:v>
      </x:c>
      <x:c r="B185" t="str">
        <x:v>Feb/2025</x:v>
      </x:c>
      <x:c r="C185" t="str">
        <x:v>Halo Infinite</x:v>
      </x:c>
      <x:c r="D185" t="str">
        <x:v>Jogo</x:v>
      </x:c>
      <x:c r="E185" t="str">
        <x:v>Sudeste</x:v>
      </x:c>
      <x:c r="F185" t="str">
        <x:v>Eduardo</x:v>
      </x:c>
      <x:c r="G185" t="str">
        <x:v>Loja física</x:v>
      </x:c>
      <x:c r="H185" s="14" t="n">
        <x:v>1</x:v>
      </x:c>
      <x:c r="I185" s="12" t="n">
        <x:v>199.9</x:v>
      </x:c>
      <x:c r="J185" s="12" t="n">
        <x:f>H185*I185</x:f>
        <x:v>199.9</x:v>
      </x:c>
    </x:row>
    <x:row r="186">
      <x:c r="A186" s="10" t="n">
        <x:v>45958</x:v>
      </x:c>
      <x:c r="B186" t="str">
        <x:v>Oct/2025</x:v>
      </x:c>
      <x:c r="C186" t="str">
        <x:v>Forza Horizon 5</x:v>
      </x:c>
      <x:c r="D186" t="str">
        <x:v>Jogo</x:v>
      </x:c>
      <x:c r="E186" t="str">
        <x:v>Centro-Oeste</x:v>
      </x:c>
      <x:c r="F186" t="str">
        <x:v>Fernanda</x:v>
      </x:c>
      <x:c r="G186" t="str">
        <x:v>Televendas</x:v>
      </x:c>
      <x:c r="H186" s="14" t="n">
        <x:v>2</x:v>
      </x:c>
      <x:c r="I186" s="12" t="n">
        <x:v>237.41</x:v>
      </x:c>
      <x:c r="J186" s="12" t="n">
        <x:f>H186*I186</x:f>
        <x:v>474.82</x:v>
      </x:c>
    </x:row>
    <x:row r="187">
      <x:c r="A187" s="10" t="n">
        <x:v>45684</x:v>
      </x:c>
      <x:c r="B187" t="str">
        <x:v>Jan/2025</x:v>
      </x:c>
      <x:c r="C187" t="str">
        <x:v>Game Pass Ultimate</x:v>
      </x:c>
      <x:c r="D187" t="str">
        <x:v>Assinatura</x:v>
      </x:c>
      <x:c r="E187" t="str">
        <x:v>Sul</x:v>
      </x:c>
      <x:c r="F187" t="str">
        <x:v>Eduardo</x:v>
      </x:c>
      <x:c r="G187" t="str">
        <x:v>E-commerce</x:v>
      </x:c>
      <x:c r="H187" s="14" t="n">
        <x:v>2</x:v>
      </x:c>
      <x:c r="I187" s="12" t="n">
        <x:v>59.9</x:v>
      </x:c>
      <x:c r="J187" s="12" t="n">
        <x:f>H187*I187</x:f>
        <x:v>119.8</x:v>
      </x:c>
    </x:row>
    <x:row r="188">
      <x:c r="A188" s="10" t="n">
        <x:v>45737</x:v>
      </x:c>
      <x:c r="B188" t="str">
        <x:v>Mar/2025</x:v>
      </x:c>
      <x:c r="C188" t="str">
        <x:v>Gift Card Xbox</x:v>
      </x:c>
      <x:c r="D188" t="str">
        <x:v>Gift Card</x:v>
      </x:c>
      <x:c r="E188" t="str">
        <x:v>Centro-Oeste</x:v>
      </x:c>
      <x:c r="F188" t="str">
        <x:v>Eduardo</x:v>
      </x:c>
      <x:c r="G188" t="str">
        <x:v>Marketplace</x:v>
      </x:c>
      <x:c r="H188" s="14" t="n">
        <x:v>1</x:v>
      </x:c>
      <x:c r="I188" s="12" t="n">
        <x:v>100</x:v>
      </x:c>
      <x:c r="J188" s="12" t="n">
        <x:f>H188*I188</x:f>
        <x:v>100</x:v>
      </x:c>
    </x:row>
    <x:row r="189">
      <x:c r="A189" s="10" t="n">
        <x:v>45716</x:v>
      </x:c>
      <x:c r="B189" t="str">
        <x:v>Feb/2025</x:v>
      </x:c>
      <x:c r="C189" t="str">
        <x:v>Game Pass Ultimate</x:v>
      </x:c>
      <x:c r="D189" t="str">
        <x:v>Assinatura</x:v>
      </x:c>
      <x:c r="E189" t="str">
        <x:v>Norte</x:v>
      </x:c>
      <x:c r="F189" t="str">
        <x:v>Eduardo</x:v>
      </x:c>
      <x:c r="G189" t="str">
        <x:v>Loja física</x:v>
      </x:c>
      <x:c r="H189" s="14" t="n">
        <x:v>2</x:v>
      </x:c>
      <x:c r="I189" s="12" t="n">
        <x:v>56.9</x:v>
      </x:c>
      <x:c r="J189" s="12" t="n">
        <x:f>H189*I189</x:f>
        <x:v>113.8</x:v>
      </x:c>
    </x:row>
    <x:row r="190">
      <x:c r="A190" s="10" t="n">
        <x:v>45969</x:v>
      </x:c>
      <x:c r="B190" t="str">
        <x:v>Nov/2025</x:v>
      </x:c>
      <x:c r="C190" t="str">
        <x:v>Game Pass Ultimate</x:v>
      </x:c>
      <x:c r="D190" t="str">
        <x:v>Assinatura</x:v>
      </x:c>
      <x:c r="E190" t="str">
        <x:v>Centro-Oeste</x:v>
      </x:c>
      <x:c r="F190" t="str">
        <x:v>Carlos</x:v>
      </x:c>
      <x:c r="G190" t="str">
        <x:v>Marketplace</x:v>
      </x:c>
      <x:c r="H190" s="14" t="n">
        <x:v>1</x:v>
      </x:c>
      <x:c r="I190" s="12" t="n">
        <x:v>59.9</x:v>
      </x:c>
      <x:c r="J190" s="12" t="n">
        <x:f>H190*I190</x:f>
        <x:v>59.9</x:v>
      </x:c>
    </x:row>
    <x:row r="191">
      <x:c r="A191" s="10" t="n">
        <x:v>45661</x:v>
      </x:c>
      <x:c r="B191" t="str">
        <x:v>Jan/2025</x:v>
      </x:c>
      <x:c r="C191" t="str">
        <x:v>Controle Xbox</x:v>
      </x:c>
      <x:c r="D191" t="str">
        <x:v>Acessório</x:v>
      </x:c>
      <x:c r="E191" t="str">
        <x:v>Nordeste</x:v>
      </x:c>
      <x:c r="F191" t="str">
        <x:v>Ana</x:v>
      </x:c>
      <x:c r="G191" t="str">
        <x:v>E-commerce</x:v>
      </x:c>
      <x:c r="H191" s="14" t="n">
        <x:v>4</x:v>
      </x:c>
      <x:c r="I191" s="12" t="n">
        <x:v>359.91</x:v>
      </x:c>
      <x:c r="J191" s="12" t="n">
        <x:f>H191*I191</x:f>
        <x:v>1439.64</x:v>
      </x:c>
    </x:row>
    <x:row r="192">
      <x:c r="A192" s="10" t="n">
        <x:v>45982</x:v>
      </x:c>
      <x:c r="B192" t="str">
        <x:v>Nov/2025</x:v>
      </x:c>
      <x:c r="C192" t="str">
        <x:v>Xbox Series X</x:v>
      </x:c>
      <x:c r="D192" t="str">
        <x:v>Console</x:v>
      </x:c>
      <x:c r="E192" t="str">
        <x:v>Sudeste</x:v>
      </x:c>
      <x:c r="F192" t="str">
        <x:v>Daniela</x:v>
      </x:c>
      <x:c r="G192" t="str">
        <x:v>Televendas</x:v>
      </x:c>
      <x:c r="H192" s="14" t="n">
        <x:v>1</x:v>
      </x:c>
      <x:c r="I192" s="12" t="n">
        <x:v>4049.91</x:v>
      </x:c>
      <x:c r="J192" s="12" t="n">
        <x:f>H192*I192</x:f>
        <x:v>4049.91</x:v>
      </x:c>
    </x:row>
    <x:row r="193">
      <x:c r="A193" s="10" t="n">
        <x:v>45890</x:v>
      </x:c>
      <x:c r="B193" t="str">
        <x:v>Aug/2025</x:v>
      </x:c>
      <x:c r="C193" t="str">
        <x:v>Forza Horizon 5</x:v>
      </x:c>
      <x:c r="D193" t="str">
        <x:v>Jogo</x:v>
      </x:c>
      <x:c r="E193" t="str">
        <x:v>Centro-Oeste</x:v>
      </x:c>
      <x:c r="F193" t="str">
        <x:v>Eduardo</x:v>
      </x:c>
      <x:c r="G193" t="str">
        <x:v>Loja física</x:v>
      </x:c>
      <x:c r="H193" s="14" t="n">
        <x:v>1</x:v>
      </x:c>
      <x:c r="I193" s="12" t="n">
        <x:v>249.9</x:v>
      </x:c>
      <x:c r="J193" s="12" t="n">
        <x:f>H193*I193</x:f>
        <x:v>249.9</x:v>
      </x:c>
    </x:row>
    <x:row r="194">
      <x:c r="A194" s="10" t="n">
        <x:v>45684</x:v>
      </x:c>
      <x:c r="B194" t="str">
        <x:v>Jan/2025</x:v>
      </x:c>
      <x:c r="C194" t="str">
        <x:v>Controle Xbox</x:v>
      </x:c>
      <x:c r="D194" t="str">
        <x:v>Acessório</x:v>
      </x:c>
      <x:c r="E194" t="str">
        <x:v>Sul</x:v>
      </x:c>
      <x:c r="F194" t="str">
        <x:v>Fernanda</x:v>
      </x:c>
      <x:c r="G194" t="str">
        <x:v>Loja física</x:v>
      </x:c>
      <x:c r="H194" s="14" t="n">
        <x:v>1</x:v>
      </x:c>
      <x:c r="I194" s="12" t="n">
        <x:v>359.91</x:v>
      </x:c>
      <x:c r="J194" s="12" t="n">
        <x:f>H194*I194</x:f>
        <x:v>359.91</x:v>
      </x:c>
    </x:row>
    <x:row r="195">
      <x:c r="A195" s="10" t="n">
        <x:v>45797</x:v>
      </x:c>
      <x:c r="B195" t="str">
        <x:v>May/2025</x:v>
      </x:c>
      <x:c r="C195" t="str">
        <x:v>Gift Card Xbox</x:v>
      </x:c>
      <x:c r="D195" t="str">
        <x:v>Gift Card</x:v>
      </x:c>
      <x:c r="E195" t="str">
        <x:v>Norte</x:v>
      </x:c>
      <x:c r="F195" t="str">
        <x:v>Daniela</x:v>
      </x:c>
      <x:c r="G195" t="str">
        <x:v>Televendas</x:v>
      </x:c>
      <x:c r="H195" s="14" t="n">
        <x:v>2</x:v>
      </x:c>
      <x:c r="I195" s="12" t="n">
        <x:v>95</x:v>
      </x:c>
      <x:c r="J195" s="12" t="n">
        <x:f>H195*I195</x:f>
        <x:v>190</x:v>
      </x:c>
    </x:row>
    <x:row r="196">
      <x:c r="A196" s="10" t="n">
        <x:v>45797</x:v>
      </x:c>
      <x:c r="B196" t="str">
        <x:v>May/2025</x:v>
      </x:c>
      <x:c r="C196" t="str">
        <x:v>Headset Xbox</x:v>
      </x:c>
      <x:c r="D196" t="str">
        <x:v>Acessório</x:v>
      </x:c>
      <x:c r="E196" t="str">
        <x:v>Centro-Oeste</x:v>
      </x:c>
      <x:c r="F196" t="str">
        <x:v>Daniela</x:v>
      </x:c>
      <x:c r="G196" t="str">
        <x:v>Loja física</x:v>
      </x:c>
      <x:c r="H196" s="14" t="n">
        <x:v>3</x:v>
      </x:c>
      <x:c r="I196" s="12" t="n">
        <x:v>299.9</x:v>
      </x:c>
      <x:c r="J196" s="12" t="n">
        <x:f>H196*I196</x:f>
        <x:v>899.6999999999999</x:v>
      </x:c>
    </x:row>
    <x:row r="197">
      <x:c r="A197" s="10" t="n">
        <x:v>45803</x:v>
      </x:c>
      <x:c r="B197" t="str">
        <x:v>May/2025</x:v>
      </x:c>
      <x:c r="C197" t="str">
        <x:v>Gift Card Xbox</x:v>
      </x:c>
      <x:c r="D197" t="str">
        <x:v>Gift Card</x:v>
      </x:c>
      <x:c r="E197" t="str">
        <x:v>Sul</x:v>
      </x:c>
      <x:c r="F197" t="str">
        <x:v>Bruno</x:v>
      </x:c>
      <x:c r="G197" t="str">
        <x:v>Televendas</x:v>
      </x:c>
      <x:c r="H197" s="14" t="n">
        <x:v>2</x:v>
      </x:c>
      <x:c r="I197" s="12" t="n">
        <x:v>100</x:v>
      </x:c>
      <x:c r="J197" s="12" t="n">
        <x:f>H197*I197</x:f>
        <x:v>200</x:v>
      </x:c>
    </x:row>
    <x:row r="198">
      <x:c r="A198" s="10" t="n">
        <x:v>45964</x:v>
      </x:c>
      <x:c r="B198" t="str">
        <x:v>Nov/2025</x:v>
      </x:c>
      <x:c r="C198" t="str">
        <x:v>Xbox Series X</x:v>
      </x:c>
      <x:c r="D198" t="str">
        <x:v>Console</x:v>
      </x:c>
      <x:c r="E198" t="str">
        <x:v>Sudeste</x:v>
      </x:c>
      <x:c r="F198" t="str">
        <x:v>Bruno</x:v>
      </x:c>
      <x:c r="G198" t="str">
        <x:v>Marketplace</x:v>
      </x:c>
      <x:c r="H198" s="14" t="n">
        <x:v>1</x:v>
      </x:c>
      <x:c r="I198" s="12" t="n">
        <x:v>4499.9</x:v>
      </x:c>
      <x:c r="J198" s="12" t="n">
        <x:f>H198*I198</x:f>
        <x:v>4499.9</x:v>
      </x:c>
    </x:row>
    <x:row r="199">
      <x:c r="A199" s="10" t="n">
        <x:v>45806</x:v>
      </x:c>
      <x:c r="B199" t="str">
        <x:v>May/2025</x:v>
      </x:c>
      <x:c r="C199" t="str">
        <x:v>Forza Horizon 5</x:v>
      </x:c>
      <x:c r="D199" t="str">
        <x:v>Jogo</x:v>
      </x:c>
      <x:c r="E199" t="str">
        <x:v>Nordeste</x:v>
      </x:c>
      <x:c r="F199" t="str">
        <x:v>Bruno</x:v>
      </x:c>
      <x:c r="G199" t="str">
        <x:v>E-commerce</x:v>
      </x:c>
      <x:c r="H199" s="14" t="n">
        <x:v>1</x:v>
      </x:c>
      <x:c r="I199" s="12" t="n">
        <x:v>237.41</x:v>
      </x:c>
      <x:c r="J199" s="12" t="n">
        <x:f>H199*I199</x:f>
        <x:v>237.41</x:v>
      </x:c>
    </x:row>
    <x:row r="200">
      <x:c r="A200" s="10" t="n">
        <x:v>45852</x:v>
      </x:c>
      <x:c r="B200" t="str">
        <x:v>Jul/2025</x:v>
      </x:c>
      <x:c r="C200" t="str">
        <x:v>Headset Xbox</x:v>
      </x:c>
      <x:c r="D200" t="str">
        <x:v>Acessório</x:v>
      </x:c>
      <x:c r="E200" t="str">
        <x:v>Sul</x:v>
      </x:c>
      <x:c r="F200" t="str">
        <x:v>Daniela</x:v>
      </x:c>
      <x:c r="G200" t="str">
        <x:v>Loja física</x:v>
      </x:c>
      <x:c r="H200" s="14" t="n">
        <x:v>2</x:v>
      </x:c>
      <x:c r="I200" s="12" t="n">
        <x:v>299.9</x:v>
      </x:c>
      <x:c r="J200" s="12" t="n">
        <x:f>H200*I200</x:f>
        <x:v>599.8</x:v>
      </x:c>
    </x:row>
    <x:row r="201">
      <x:c r="A201" s="10" t="n">
        <x:v>45881</x:v>
      </x:c>
      <x:c r="B201" t="str">
        <x:v>Aug/2025</x:v>
      </x:c>
      <x:c r="C201" t="str">
        <x:v>Xbox Series X</x:v>
      </x:c>
      <x:c r="D201" t="str">
        <x:v>Console</x:v>
      </x:c>
      <x:c r="E201" t="str">
        <x:v>Centro-Oeste</x:v>
      </x:c>
      <x:c r="F201" t="str">
        <x:v>Eduardo</x:v>
      </x:c>
      <x:c r="G201" t="str">
        <x:v>Televendas</x:v>
      </x:c>
      <x:c r="H201" s="14" t="n">
        <x:v>2</x:v>
      </x:c>
      <x:c r="I201" s="12" t="n">
        <x:v>4499.9</x:v>
      </x:c>
      <x:c r="J201" s="12" t="n">
        <x:f>H201*I201</x:f>
        <x:v>8999.8</x:v>
      </x:c>
    </x:row>
    <x:row r="202">
      <x:c r="A202" s="10" t="n">
        <x:v>45951</x:v>
      </x:c>
      <x:c r="B202" t="str">
        <x:v>Oct/2025</x:v>
      </x:c>
      <x:c r="C202" t="str">
        <x:v>Halo Infinite</x:v>
      </x:c>
      <x:c r="D202" t="str">
        <x:v>Jogo</x:v>
      </x:c>
      <x:c r="E202" t="str">
        <x:v>Centro-Oeste</x:v>
      </x:c>
      <x:c r="F202" t="str">
        <x:v>Ana</x:v>
      </x:c>
      <x:c r="G202" t="str">
        <x:v>Televendas</x:v>
      </x:c>
      <x:c r="H202" s="14" t="n">
        <x:v>3</x:v>
      </x:c>
      <x:c r="I202" s="12" t="n">
        <x:v>189.91</x:v>
      </x:c>
      <x:c r="J202" s="12" t="n">
        <x:f>H202*I202</x:f>
        <x:v>569.73</x:v>
      </x:c>
    </x:row>
    <x:row r="203">
      <x:c r="A203" s="10" t="n">
        <x:v>45668</x:v>
      </x:c>
      <x:c r="B203" t="str">
        <x:v>Jan/2025</x:v>
      </x:c>
      <x:c r="C203" t="str">
        <x:v>Forza Horizon 5</x:v>
      </x:c>
      <x:c r="D203" t="str">
        <x:v>Jogo</x:v>
      </x:c>
      <x:c r="E203" t="str">
        <x:v>Nordeste</x:v>
      </x:c>
      <x:c r="F203" t="str">
        <x:v>Fernanda</x:v>
      </x:c>
      <x:c r="G203" t="str">
        <x:v>Marketplace</x:v>
      </x:c>
      <x:c r="H203" s="14" t="n">
        <x:v>1</x:v>
      </x:c>
      <x:c r="I203" s="12" t="n">
        <x:v>224.91</x:v>
      </x:c>
      <x:c r="J203" s="12" t="n">
        <x:f>H203*I203</x:f>
        <x:v>224.91</x:v>
      </x:c>
    </x:row>
    <x:row r="204">
      <x:c r="A204" s="10" t="n">
        <x:v>45703</x:v>
      </x:c>
      <x:c r="B204" t="str">
        <x:v>Feb/2025</x:v>
      </x:c>
      <x:c r="C204" t="str">
        <x:v>Halo Infinite</x:v>
      </x:c>
      <x:c r="D204" t="str">
        <x:v>Jogo</x:v>
      </x:c>
      <x:c r="E204" t="str">
        <x:v>Nordeste</x:v>
      </x:c>
      <x:c r="F204" t="str">
        <x:v>Eduardo</x:v>
      </x:c>
      <x:c r="G204" t="str">
        <x:v>Televendas</x:v>
      </x:c>
      <x:c r="H204" s="14" t="n">
        <x:v>3</x:v>
      </x:c>
      <x:c r="I204" s="12" t="n">
        <x:v>199.9</x:v>
      </x:c>
      <x:c r="J204" s="12" t="n">
        <x:f>H204*I204</x:f>
        <x:v>599.7</x:v>
      </x:c>
    </x:row>
    <x:row r="205">
      <x:c r="A205" s="10" t="n">
        <x:v>45926</x:v>
      </x:c>
      <x:c r="B205" t="str">
        <x:v>Sep/2025</x:v>
      </x:c>
      <x:c r="C205" t="str">
        <x:v>Xbox Series S</x:v>
      </x:c>
      <x:c r="D205" t="str">
        <x:v>Console</x:v>
      </x:c>
      <x:c r="E205" t="str">
        <x:v>Centro-Oeste</x:v>
      </x:c>
      <x:c r="F205" t="str">
        <x:v>Bruno</x:v>
      </x:c>
      <x:c r="G205" t="str">
        <x:v>Marketplace</x:v>
      </x:c>
      <x:c r="H205" s="14" t="n">
        <x:v>1</x:v>
      </x:c>
      <x:c r="I205" s="12" t="n">
        <x:v>2499.9</x:v>
      </x:c>
      <x:c r="J205" s="12" t="n">
        <x:f>H205*I205</x:f>
        <x:v>2499.9</x:v>
      </x:c>
    </x:row>
    <x:row r="206">
      <x:c r="A206" s="10" t="n">
        <x:v>45744</x:v>
      </x:c>
      <x:c r="B206" t="str">
        <x:v>Mar/2025</x:v>
      </x:c>
      <x:c r="C206" t="str">
        <x:v>Xbox Series S</x:v>
      </x:c>
      <x:c r="D206" t="str">
        <x:v>Console</x:v>
      </x:c>
      <x:c r="E206" t="str">
        <x:v>Norte</x:v>
      </x:c>
      <x:c r="F206" t="str">
        <x:v>Eduardo</x:v>
      </x:c>
      <x:c r="G206" t="str">
        <x:v>E-commerce</x:v>
      </x:c>
      <x:c r="H206" s="14" t="n">
        <x:v>2</x:v>
      </x:c>
      <x:c r="I206" s="12" t="n">
        <x:v>2499.9</x:v>
      </x:c>
      <x:c r="J206" s="12" t="n">
        <x:f>H206*I206</x:f>
        <x:v>4999.8</x:v>
      </x:c>
    </x:row>
    <x:row r="207">
      <x:c r="A207" s="10" t="n">
        <x:v>45836</x:v>
      </x:c>
      <x:c r="B207" t="str">
        <x:v>Jun/2025</x:v>
      </x:c>
      <x:c r="C207" t="str">
        <x:v>Forza Horizon 5</x:v>
      </x:c>
      <x:c r="D207" t="str">
        <x:v>Jogo</x:v>
      </x:c>
      <x:c r="E207" t="str">
        <x:v>Sudeste</x:v>
      </x:c>
      <x:c r="F207" t="str">
        <x:v>Ana</x:v>
      </x:c>
      <x:c r="G207" t="str">
        <x:v>E-commerce</x:v>
      </x:c>
      <x:c r="H207" s="14" t="n">
        <x:v>3</x:v>
      </x:c>
      <x:c r="I207" s="12" t="n">
        <x:v>249.9</x:v>
      </x:c>
      <x:c r="J207" s="12" t="n">
        <x:f>H207*I207</x:f>
        <x:v>749.7</x:v>
      </x:c>
    </x:row>
    <x:row r="208">
      <x:c r="A208" s="10" t="n">
        <x:v>45789</x:v>
      </x:c>
      <x:c r="B208" t="str">
        <x:v>May/2025</x:v>
      </x:c>
      <x:c r="C208" t="str">
        <x:v>Headset Xbox</x:v>
      </x:c>
      <x:c r="D208" t="str">
        <x:v>Acessório</x:v>
      </x:c>
      <x:c r="E208" t="str">
        <x:v>Sul</x:v>
      </x:c>
      <x:c r="F208" t="str">
        <x:v>Bruno</x:v>
      </x:c>
      <x:c r="G208" t="str">
        <x:v>Televendas</x:v>
      </x:c>
      <x:c r="H208" s="14" t="n">
        <x:v>1</x:v>
      </x:c>
      <x:c r="I208" s="12" t="n">
        <x:v>299.9</x:v>
      </x:c>
      <x:c r="J208" s="12" t="n">
        <x:f>H208*I208</x:f>
        <x:v>299.9</x:v>
      </x:c>
    </x:row>
    <x:row r="209">
      <x:c r="A209" s="10" t="n">
        <x:v>45895</x:v>
      </x:c>
      <x:c r="B209" t="str">
        <x:v>Aug/2025</x:v>
      </x:c>
      <x:c r="C209" t="str">
        <x:v>Gift Card Xbox</x:v>
      </x:c>
      <x:c r="D209" t="str">
        <x:v>Gift Card</x:v>
      </x:c>
      <x:c r="E209" t="str">
        <x:v>Norte</x:v>
      </x:c>
      <x:c r="F209" t="str">
        <x:v>Carlos</x:v>
      </x:c>
      <x:c r="G209" t="str">
        <x:v>Marketplace</x:v>
      </x:c>
      <x:c r="H209" s="14" t="n">
        <x:v>2</x:v>
      </x:c>
      <x:c r="I209" s="12" t="n">
        <x:v>90</x:v>
      </x:c>
      <x:c r="J209" s="12" t="n">
        <x:f>H209*I209</x:f>
        <x:v>180</x:v>
      </x:c>
    </x:row>
    <x:row r="210">
      <x:c r="A210" s="10" t="n">
        <x:v>45735</x:v>
      </x:c>
      <x:c r="B210" t="str">
        <x:v>Mar/2025</x:v>
      </x:c>
      <x:c r="C210" t="str">
        <x:v>Gift Card Xbox</x:v>
      </x:c>
      <x:c r="D210" t="str">
        <x:v>Gift Card</x:v>
      </x:c>
      <x:c r="E210" t="str">
        <x:v>Centro-Oeste</x:v>
      </x:c>
      <x:c r="F210" t="str">
        <x:v>Carlos</x:v>
      </x:c>
      <x:c r="G210" t="str">
        <x:v>Loja física</x:v>
      </x:c>
      <x:c r="H210" s="14" t="n">
        <x:v>1</x:v>
      </x:c>
      <x:c r="I210" s="12" t="n">
        <x:v>95</x:v>
      </x:c>
      <x:c r="J210" s="12" t="n">
        <x:f>H210*I210</x:f>
        <x:v>95</x:v>
      </x:c>
    </x:row>
    <x:row r="211">
      <x:c r="A211" s="10" t="n">
        <x:v>45838</x:v>
      </x:c>
      <x:c r="B211" t="str">
        <x:v>Jun/2025</x:v>
      </x:c>
      <x:c r="C211" t="str">
        <x:v>Xbox Series S</x:v>
      </x:c>
      <x:c r="D211" t="str">
        <x:v>Console</x:v>
      </x:c>
      <x:c r="E211" t="str">
        <x:v>Sul</x:v>
      </x:c>
      <x:c r="F211" t="str">
        <x:v>Ana</x:v>
      </x:c>
      <x:c r="G211" t="str">
        <x:v>Marketplace</x:v>
      </x:c>
      <x:c r="H211" s="14" t="n">
        <x:v>1</x:v>
      </x:c>
      <x:c r="I211" s="12" t="n">
        <x:v>2374.91</x:v>
      </x:c>
      <x:c r="J211" s="12" t="n">
        <x:f>H211*I211</x:f>
        <x:v>2374.91</x:v>
      </x:c>
    </x:row>
    <x:row r="212">
      <x:c r="A212" s="10" t="n">
        <x:v>45804</x:v>
      </x:c>
      <x:c r="B212" t="str">
        <x:v>May/2025</x:v>
      </x:c>
      <x:c r="C212" t="str">
        <x:v>Xbox Series S</x:v>
      </x:c>
      <x:c r="D212" t="str">
        <x:v>Console</x:v>
      </x:c>
      <x:c r="E212" t="str">
        <x:v>Norte</x:v>
      </x:c>
      <x:c r="F212" t="str">
        <x:v>Eduardo</x:v>
      </x:c>
      <x:c r="G212" t="str">
        <x:v>Televendas</x:v>
      </x:c>
      <x:c r="H212" s="14" t="n">
        <x:v>2</x:v>
      </x:c>
      <x:c r="I212" s="12" t="n">
        <x:v>2499.9</x:v>
      </x:c>
      <x:c r="J212" s="12" t="n">
        <x:f>H212*I212</x:f>
        <x:v>4999.8</x:v>
      </x:c>
    </x:row>
    <x:row r="213">
      <x:c r="A213" s="10" t="n">
        <x:v>45894</x:v>
      </x:c>
      <x:c r="B213" t="str">
        <x:v>Aug/2025</x:v>
      </x:c>
      <x:c r="C213" t="str">
        <x:v>Xbox Series X</x:v>
      </x:c>
      <x:c r="D213" t="str">
        <x:v>Console</x:v>
      </x:c>
      <x:c r="E213" t="str">
        <x:v>Sudeste</x:v>
      </x:c>
      <x:c r="F213" t="str">
        <x:v>Carlos</x:v>
      </x:c>
      <x:c r="G213" t="str">
        <x:v>Televendas</x:v>
      </x:c>
      <x:c r="H213" s="14" t="n">
        <x:v>1</x:v>
      </x:c>
      <x:c r="I213" s="12" t="n">
        <x:v>4049.91</x:v>
      </x:c>
      <x:c r="J213" s="12" t="n">
        <x:f>H213*I213</x:f>
        <x:v>4049.91</x:v>
      </x:c>
    </x:row>
    <x:row r="214">
      <x:c r="A214" s="10" t="n">
        <x:v>45914</x:v>
      </x:c>
      <x:c r="B214" t="str">
        <x:v>Sep/2025</x:v>
      </x:c>
      <x:c r="C214" t="str">
        <x:v>Controle Xbox</x:v>
      </x:c>
      <x:c r="D214" t="str">
        <x:v>Acessório</x:v>
      </x:c>
      <x:c r="E214" t="str">
        <x:v>Sul</x:v>
      </x:c>
      <x:c r="F214" t="str">
        <x:v>Carlos</x:v>
      </x:c>
      <x:c r="G214" t="str">
        <x:v>Loja física</x:v>
      </x:c>
      <x:c r="H214" s="14" t="n">
        <x:v>5</x:v>
      </x:c>
      <x:c r="I214" s="12" t="n">
        <x:v>379.9</x:v>
      </x:c>
      <x:c r="J214" s="12" t="n">
        <x:f>H214*I214</x:f>
        <x:v>1899.5</x:v>
      </x:c>
    </x:row>
    <x:row r="215">
      <x:c r="A215" s="10" t="n">
        <x:v>45916</x:v>
      </x:c>
      <x:c r="B215" t="str">
        <x:v>Sep/2025</x:v>
      </x:c>
      <x:c r="C215" t="str">
        <x:v>Controle Xbox</x:v>
      </x:c>
      <x:c r="D215" t="str">
        <x:v>Acessório</x:v>
      </x:c>
      <x:c r="E215" t="str">
        <x:v>Nordeste</x:v>
      </x:c>
      <x:c r="F215" t="str">
        <x:v>Eduardo</x:v>
      </x:c>
      <x:c r="G215" t="str">
        <x:v>E-commerce</x:v>
      </x:c>
      <x:c r="H215" s="14" t="n">
        <x:v>1</x:v>
      </x:c>
      <x:c r="I215" s="12" t="n">
        <x:v>379.9</x:v>
      </x:c>
      <x:c r="J215" s="12" t="n">
        <x:f>H215*I215</x:f>
        <x:v>379.9</x:v>
      </x:c>
    </x:row>
    <x:row r="216">
      <x:c r="A216" s="10" t="n">
        <x:v>45844</x:v>
      </x:c>
      <x:c r="B216" t="str">
        <x:v>Jul/2025</x:v>
      </x:c>
      <x:c r="C216" t="str">
        <x:v>Forza Horizon 5</x:v>
      </x:c>
      <x:c r="D216" t="str">
        <x:v>Jogo</x:v>
      </x:c>
      <x:c r="E216" t="str">
        <x:v>Nordeste</x:v>
      </x:c>
      <x:c r="F216" t="str">
        <x:v>Carlos</x:v>
      </x:c>
      <x:c r="G216" t="str">
        <x:v>Loja física</x:v>
      </x:c>
      <x:c r="H216" s="14" t="n">
        <x:v>4</x:v>
      </x:c>
      <x:c r="I216" s="12" t="n">
        <x:v>237.41</x:v>
      </x:c>
      <x:c r="J216" s="12" t="n">
        <x:f>H216*I216</x:f>
        <x:v>949.64</x:v>
      </x:c>
    </x:row>
    <x:row r="217">
      <x:c r="A217" s="10" t="n">
        <x:v>45981</x:v>
      </x:c>
      <x:c r="B217" t="str">
        <x:v>Nov/2025</x:v>
      </x:c>
      <x:c r="C217" t="str">
        <x:v>Forza Horizon 5</x:v>
      </x:c>
      <x:c r="D217" t="str">
        <x:v>Jogo</x:v>
      </x:c>
      <x:c r="E217" t="str">
        <x:v>Norte</x:v>
      </x:c>
      <x:c r="F217" t="str">
        <x:v>Fernanda</x:v>
      </x:c>
      <x:c r="G217" t="str">
        <x:v>Televendas</x:v>
      </x:c>
      <x:c r="H217" s="14" t="n">
        <x:v>1</x:v>
      </x:c>
      <x:c r="I217" s="12" t="n">
        <x:v>249.9</x:v>
      </x:c>
      <x:c r="J217" s="12" t="n">
        <x:f>H217*I217</x:f>
        <x:v>249.9</x:v>
      </x:c>
    </x:row>
    <x:row r="218">
      <x:c r="A218" s="10" t="n">
        <x:v>45803</x:v>
      </x:c>
      <x:c r="B218" t="str">
        <x:v>May/2025</x:v>
      </x:c>
      <x:c r="C218" t="str">
        <x:v>Game Pass Ultimate</x:v>
      </x:c>
      <x:c r="D218" t="str">
        <x:v>Assinatura</x:v>
      </x:c>
      <x:c r="E218" t="str">
        <x:v>Sudeste</x:v>
      </x:c>
      <x:c r="F218" t="str">
        <x:v>Carlos</x:v>
      </x:c>
      <x:c r="G218" t="str">
        <x:v>Loja física</x:v>
      </x:c>
      <x:c r="H218" s="14" t="n">
        <x:v>3</x:v>
      </x:c>
      <x:c r="I218" s="12" t="n">
        <x:v>53.91</x:v>
      </x:c>
      <x:c r="J218" s="12" t="n">
        <x:f>H218*I218</x:f>
        <x:v>161.73</x:v>
      </x:c>
    </x:row>
    <x:row r="219">
      <x:c r="A219" s="10" t="n">
        <x:v>45956</x:v>
      </x:c>
      <x:c r="B219" t="str">
        <x:v>Oct/2025</x:v>
      </x:c>
      <x:c r="C219" t="str">
        <x:v>Controle Xbox</x:v>
      </x:c>
      <x:c r="D219" t="str">
        <x:v>Acessório</x:v>
      </x:c>
      <x:c r="E219" t="str">
        <x:v>Nordeste</x:v>
      </x:c>
      <x:c r="F219" t="str">
        <x:v>Bruno</x:v>
      </x:c>
      <x:c r="G219" t="str">
        <x:v>Loja física</x:v>
      </x:c>
      <x:c r="H219" s="14" t="n">
        <x:v>4</x:v>
      </x:c>
      <x:c r="I219" s="12" t="n">
        <x:v>399.9</x:v>
      </x:c>
      <x:c r="J219" s="12" t="n">
        <x:f>H219*I219</x:f>
        <x:v>1599.6</x:v>
      </x:c>
    </x:row>
    <x:row r="220">
      <x:c r="A220" s="10" t="n">
        <x:v>45816</x:v>
      </x:c>
      <x:c r="B220" t="str">
        <x:v>Jun/2025</x:v>
      </x:c>
      <x:c r="C220" t="str">
        <x:v>Halo Infinite</x:v>
      </x:c>
      <x:c r="D220" t="str">
        <x:v>Jogo</x:v>
      </x:c>
      <x:c r="E220" t="str">
        <x:v>Sudeste</x:v>
      </x:c>
      <x:c r="F220" t="str">
        <x:v>Fernanda</x:v>
      </x:c>
      <x:c r="G220" t="str">
        <x:v>Loja física</x:v>
      </x:c>
      <x:c r="H220" s="14" t="n">
        <x:v>2</x:v>
      </x:c>
      <x:c r="I220" s="12" t="n">
        <x:v>199.9</x:v>
      </x:c>
      <x:c r="J220" s="12" t="n">
        <x:f>H220*I220</x:f>
        <x:v>399.8</x:v>
      </x:c>
    </x:row>
    <x:row r="221">
      <x:c r="A221" s="10" t="n">
        <x:v>45988</x:v>
      </x:c>
      <x:c r="B221" t="str">
        <x:v>Nov/2025</x:v>
      </x:c>
      <x:c r="C221" t="str">
        <x:v>Halo Infinite</x:v>
      </x:c>
      <x:c r="D221" t="str">
        <x:v>Jogo</x:v>
      </x:c>
      <x:c r="E221" t="str">
        <x:v>Centro-Oeste</x:v>
      </x:c>
      <x:c r="F221" t="str">
        <x:v>Carlos</x:v>
      </x:c>
      <x:c r="G221" t="str">
        <x:v>E-commerce</x:v>
      </x:c>
      <x:c r="H221" s="14" t="n">
        <x:v>2</x:v>
      </x:c>
      <x:c r="I221" s="12" t="n">
        <x:v>199.9</x:v>
      </x:c>
      <x:c r="J221" s="12" t="n">
        <x:f>H221*I221</x:f>
        <x:v>399.8</x:v>
      </x:c>
    </x:row>
  </x:sheetData>
  <x:pageMargins left="0.7" right="0.7" top="0.75" bottom="0.75" header="0.3" footer="0.3"/>
  <x:tableParts count="1">
    <x:tablePart xmlns:r="http://schemas.openxmlformats.org/officeDocument/2006/relationships" r:id="R057b558b2b3541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7.5" hidden="0" customWidth="1"/>
    <x:col min="4" max="4" width="8.34000015258789" hidden="0" customWidth="1"/>
    <x:col min="5" max="5" width="17.5" hidden="0" customWidth="1"/>
    <x:col min="7" max="7" width="10.630000114440918" hidden="0" customWidth="1"/>
    <x:col min="8" max="8" width="16.420000076293945" hidden="0" customWidth="1"/>
    <x:col min="10" max="10" width="7.940000057220459" hidden="0" customWidth="1"/>
    <x:col min="11" max="11" width="17.5" hidden="0" customWidth="1"/>
    <x:col min="13" max="13" width="16.020000457763672" hidden="0" customWidth="1"/>
    <x:col min="14" max="14" width="17.5" hidden="0" customWidth="1"/>
  </x:cols>
  <x:sheetData>
    <x:row r="1">
      <x:c r="A1" s="20" t="str">
        <x:v>Mês</x:v>
      </x:c>
      <x:c r="B1" s="20" t="str">
        <x:v>Receita</x:v>
      </x:c>
      <x:c r="C1" s="20"/>
      <x:c r="D1" s="20" t="str">
        <x:v>Categoria</x:v>
      </x:c>
      <x:c r="E1" s="20" t="str">
        <x:v>Receita</x:v>
      </x:c>
      <x:c r="F1" s="20"/>
      <x:c r="G1" s="20" t="str">
        <x:v>Região</x:v>
      </x:c>
      <x:c r="H1" s="20" t="str">
        <x:v>Receita</x:v>
      </x:c>
      <x:c r="I1" s="20"/>
      <x:c r="J1" s="20" t="str">
        <x:v>Vendedor</x:v>
      </x:c>
      <x:c r="K1" s="20" t="str">
        <x:v>Receita</x:v>
      </x:c>
      <x:c r="L1" s="20"/>
      <x:c r="M1" s="20" t="str">
        <x:v>Produto</x:v>
      </x:c>
      <x:c r="N1" s="20" t="str">
        <x:v>Receita</x:v>
      </x:c>
    </x:row>
    <x:row r="2">
      <x:c r="A2" s="16" t="n">
        <x:v>45658</x:v>
      </x:c>
      <x:c r="B2" s="12" t="n">
        <x:f>SUMIFS(Base_Dados!$J:$J,Base_Dados!$A:$A,"&gt;="&amp;A2,Base_Dados!$A:$A,"&lt;"&amp;EDATE(A2,1))</x:f>
        <x:v>39813.63000000001</x:v>
      </x:c>
      <x:c r="D2" t="str">
        <x:v>Acessório</x:v>
      </x:c>
      <x:c r="E2" s="12" t="n">
        <x:f>SUMIF(Base_Dados!$D:$D,D2,Base_Dados!$J:$J)</x:f>
        <x:v>34180.2</x:v>
      </x:c>
      <x:c r="G2" t="str">
        <x:v>Sul</x:v>
      </x:c>
      <x:c r="H2" s="12" t="n">
        <x:f>SUMIF(Base_Dados!$E:$E,G2,Base_Dados!$J:$J)</x:f>
        <x:v>42679.04000000002</x:v>
      </x:c>
      <x:c r="J2" t="str">
        <x:v>Ana</x:v>
      </x:c>
      <x:c r="K2" s="12" t="n">
        <x:f>SUMIF(Base_Dados!$F:$F,J2,Base_Dados!$J:$J)</x:f>
        <x:v>43010.46000000001</x:v>
      </x:c>
      <x:c r="M2" t="str">
        <x:v>Xbox Series X</x:v>
      </x:c>
      <x:c r="N2" s="12" t="n">
        <x:f>SUMIF(Base_Dados!$C:$C,M2,Base_Dados!$J:$J)</x:f>
        <x:v>164246.32999999996</x:v>
      </x:c>
    </x:row>
    <x:row r="3">
      <x:c r="A3" s="16" t="n">
        <x:v>45689</x:v>
      </x:c>
      <x:c r="B3" s="12" t="n">
        <x:f>SUMIFS(Base_Dados!$J:$J,Base_Dados!$A:$A,"&gt;="&amp;A3,Base_Dados!$A:$A,"&lt;"&amp;EDATE(A3,1))</x:f>
        <x:v>13782.38</x:v>
      </x:c>
      <x:c r="D3" t="str">
        <x:v>Assinatura</x:v>
      </x:c>
      <x:c r="E3" s="12" t="n">
        <x:f>SUMIF(Base_Dados!$D:$D,D3,Base_Dados!$J:$J)</x:f>
        <x:v>4402.56</x:v>
      </x:c>
      <x:c r="G3" t="str">
        <x:v>Sudeste</x:v>
      </x:c>
      <x:c r="H3" s="12" t="n">
        <x:f>SUMIF(Base_Dados!$E:$E,G3,Base_Dados!$J:$J)</x:f>
        <x:v>88651.93000000001</x:v>
      </x:c>
      <x:c r="J3" t="str">
        <x:v>Bruno</x:v>
      </x:c>
      <x:c r="K3" s="12" t="n">
        <x:f>SUMIF(Base_Dados!$F:$F,J3,Base_Dados!$J:$J)</x:f>
        <x:v>87373.14</x:v>
      </x:c>
      <x:c r="M3" t="str">
        <x:v>Xbox Series S</x:v>
      </x:c>
      <x:c r="N3" s="12" t="n">
        <x:f>SUMIF(Base_Dados!$C:$C,M3,Base_Dados!$J:$J)</x:f>
        <x:v>171868.18</x:v>
      </x:c>
    </x:row>
    <x:row r="4">
      <x:c r="A4" s="16" t="n">
        <x:v>45717</x:v>
      </x:c>
      <x:c r="B4" s="12" t="n">
        <x:f>SUMIFS(Base_Dados!$J:$J,Base_Dados!$A:$A,"&gt;="&amp;A4,Base_Dados!$A:$A,"&lt;"&amp;EDATE(A4,1))</x:f>
        <x:v>13545.059999999998</x:v>
      </x:c>
      <x:c r="D4" t="str">
        <x:v>Console</x:v>
      </x:c>
      <x:c r="E4" s="12" t="n">
        <x:f>SUMIF(Base_Dados!$D:$D,D4,Base_Dados!$J:$J)</x:f>
        <x:v>336114.51</x:v>
      </x:c>
      <x:c r="G4" t="str">
        <x:v>Centro-Oeste</x:v>
      </x:c>
      <x:c r="H4" s="12" t="n">
        <x:f>SUMIF(Base_Dados!$E:$E,G4,Base_Dados!$J:$J)</x:f>
        <x:v>88007.94999999998</x:v>
      </x:c>
      <x:c r="J4" t="str">
        <x:v>Carlos</x:v>
      </x:c>
      <x:c r="K4" s="12" t="n">
        <x:f>SUMIF(Base_Dados!$F:$F,J4,Base_Dados!$J:$J)</x:f>
        <x:v>56676.05000000001</x:v>
      </x:c>
      <x:c r="M4" t="str">
        <x:v>Controle Xbox</x:v>
      </x:c>
      <x:c r="N4" s="12" t="n">
        <x:f>SUMIF(Base_Dados!$C:$C,M4,Base_Dados!$J:$J)</x:f>
        <x:v>20594.76</x:v>
      </x:c>
    </x:row>
    <x:row r="5">
      <x:c r="A5" s="16" t="n">
        <x:v>45748</x:v>
      </x:c>
      <x:c r="B5" s="12" t="n">
        <x:f>SUMIFS(Base_Dados!$J:$J,Base_Dados!$A:$A,"&gt;="&amp;A5,Base_Dados!$A:$A,"&lt;"&amp;EDATE(A5,1))</x:f>
        <x:v>15365.039999999999</x:v>
      </x:c>
      <x:c r="D5" t="str">
        <x:v>Gift Card</x:v>
      </x:c>
      <x:c r="E5" s="12" t="n">
        <x:f>SUMIF(Base_Dados!$D:$D,D5,Base_Dados!$J:$J)</x:f>
        <x:v>5760</x:v>
      </x:c>
      <x:c r="G5" t="str">
        <x:v>Nordeste</x:v>
      </x:c>
      <x:c r="H5" s="12" t="n">
        <x:f>SUMIF(Base_Dados!$E:$E,G5,Base_Dados!$J:$J)</x:f>
        <x:v>99633.27999999998</x:v>
      </x:c>
      <x:c r="J5" t="str">
        <x:v>Daniela</x:v>
      </x:c>
      <x:c r="K5" s="12" t="n">
        <x:f>SUMIF(Base_Dados!$F:$F,J5,Base_Dados!$J:$J)</x:f>
        <x:v>52535.82000000001</x:v>
      </x:c>
      <x:c r="M5" t="str">
        <x:v>Headset Xbox</x:v>
      </x:c>
      <x:c r="N5" s="12" t="n">
        <x:f>SUMIF(Base_Dados!$C:$C,M5,Base_Dados!$J:$J)</x:f>
        <x:v>13585.439999999999</x:v>
      </x:c>
    </x:row>
    <x:row r="6">
      <x:c r="A6" s="16" t="n">
        <x:v>45778</x:v>
      </x:c>
      <x:c r="B6" s="12" t="n">
        <x:f>SUMIFS(Base_Dados!$J:$J,Base_Dados!$A:$A,"&gt;="&amp;A6,Base_Dados!$A:$A,"&lt;"&amp;EDATE(A6,1))</x:f>
        <x:v>42230.100000000006</x:v>
      </x:c>
      <x:c r="D6" t="str">
        <x:v>Jogo</x:v>
      </x:c>
      <x:c r="E6" s="12" t="n">
        <x:f>SUMIF(Base_Dados!$D:$D,D6,Base_Dados!$J:$J)</x:f>
        <x:v>19288.879999999997</x:v>
      </x:c>
      <x:c r="G6" t="str">
        <x:v>Norte</x:v>
      </x:c>
      <x:c r="H6" s="12" t="n">
        <x:f>SUMIF(Base_Dados!$E:$E,G6,Base_Dados!$J:$J)</x:f>
        <x:v>80773.95000000003</x:v>
      </x:c>
      <x:c r="J6" t="str">
        <x:v>Eduardo</x:v>
      </x:c>
      <x:c r="K6" s="12" t="n">
        <x:f>SUMIF(Base_Dados!$F:$F,J6,Base_Dados!$J:$J)</x:f>
        <x:v>102797.96999999999</x:v>
      </x:c>
      <x:c r="M6" t="str">
        <x:v>Game Pass Ultimate</x:v>
      </x:c>
      <x:c r="N6" s="12" t="n">
        <x:f>SUMIF(Base_Dados!$C:$C,M6,Base_Dados!$J:$J)</x:f>
        <x:v>4402.56</x:v>
      </x:c>
    </x:row>
    <x:row r="7">
      <x:c r="A7" s="16" t="n">
        <x:v>45809</x:v>
      </x:c>
      <x:c r="B7" s="12" t="n">
        <x:f>SUMIFS(Base_Dados!$J:$J,Base_Dados!$A:$A,"&gt;="&amp;A7,Base_Dados!$A:$A,"&lt;"&amp;EDATE(A7,1))</x:f>
        <x:v>26327.23</x:v>
      </x:c>
      <x:c r="J7" t="str">
        <x:v>Fernanda</x:v>
      </x:c>
      <x:c r="K7" s="12" t="n">
        <x:f>SUMIF(Base_Dados!$F:$F,J7,Base_Dados!$J:$J)</x:f>
        <x:v>57352.71000000003</x:v>
      </x:c>
      <x:c r="M7" t="str">
        <x:v>Forza Horizon 5</x:v>
      </x:c>
      <x:c r="N7" s="12" t="n">
        <x:f>SUMIF(Base_Dados!$C:$C,M7,Base_Dados!$J:$J)</x:f>
        <x:v>9133.9</x:v>
      </x:c>
    </x:row>
    <x:row r="8">
      <x:c r="A8" s="16" t="n">
        <x:v>45839</x:v>
      </x:c>
      <x:c r="B8" s="12" t="n">
        <x:f>SUMIFS(Base_Dados!$J:$J,Base_Dados!$A:$A,"&gt;="&amp;A8,Base_Dados!$A:$A,"&lt;"&amp;EDATE(A8,1))</x:f>
        <x:v>40933.950000000004</x:v>
      </x:c>
      <x:c r="M8" t="str">
        <x:v>Halo Infinite</x:v>
      </x:c>
      <x:c r="N8" s="12" t="n">
        <x:f>SUMIF(Base_Dados!$C:$C,M8,Base_Dados!$J:$J)</x:f>
        <x:v>10154.98</x:v>
      </x:c>
    </x:row>
    <x:row r="9">
      <x:c r="A9" s="16" t="n">
        <x:v>45870</x:v>
      </x:c>
      <x:c r="B9" s="12" t="n">
        <x:f>SUMIFS(Base_Dados!$J:$J,Base_Dados!$A:$A,"&gt;="&amp;A9,Base_Dados!$A:$A,"&lt;"&amp;EDATE(A9,1))</x:f>
        <x:v>44162.259999999995</x:v>
      </x:c>
      <x:c r="M9" t="str">
        <x:v>Gift Card Xbox</x:v>
      </x:c>
      <x:c r="N9" s="12" t="n">
        <x:f>SUMIF(Base_Dados!$C:$C,M9,Base_Dados!$J:$J)</x:f>
        <x:v>5760</x:v>
      </x:c>
    </x:row>
    <x:row r="10">
      <x:c r="A10" s="16" t="n">
        <x:v>45901</x:v>
      </x:c>
      <x:c r="B10" s="12" t="n">
        <x:f>SUMIFS(Base_Dados!$J:$J,Base_Dados!$A:$A,"&gt;="&amp;A10,Base_Dados!$A:$A,"&lt;"&amp;EDATE(A10,1))</x:f>
        <x:v>15593.129999999997</x:v>
      </x:c>
    </x:row>
    <x:row r="11">
      <x:c r="A11" s="16" t="n">
        <x:v>45931</x:v>
      </x:c>
      <x:c r="B11" s="12" t="n">
        <x:f>SUMIFS(Base_Dados!$J:$J,Base_Dados!$A:$A,"&gt;="&amp;A11,Base_Dados!$A:$A,"&lt;"&amp;EDATE(A11,1))</x:f>
        <x:v>58105.56000000001</x:v>
      </x:c>
    </x:row>
    <x:row r="12">
      <x:c r="A12" s="16" t="n">
        <x:v>45962</x:v>
      </x:c>
      <x:c r="B12" s="12" t="n">
        <x:f>SUMIFS(Base_Dados!$J:$J,Base_Dados!$A:$A,"&gt;="&amp;A12,Base_Dados!$A:$A,"&lt;"&amp;EDATE(A12,1))</x:f>
        <x:v>59510.140000000014</x:v>
      </x:c>
    </x:row>
    <x:row r="13">
      <x:c r="A13" s="16" t="n">
        <x:v>45992</x:v>
      </x:c>
      <x:c r="B13" s="12" t="n">
        <x:f>SUMIFS(Base_Dados!$J:$J,Base_Dados!$A:$A,"&gt;="&amp;A13,Base_Dados!$A:$A,"&lt;"&amp;EDATE(A13,1))</x:f>
        <x:v>30377.670000000006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7" max="7" width="14" hidden="0" customWidth="1"/>
    <x:col min="8" max="8" width="14" hidden="0" customWidth="1"/>
    <x:col min="10" max="10" width="14" hidden="0" customWidth="1"/>
    <x:col min="5" max="5" width="14" hidden="0" customWidth="1"/>
    <x:col min="6" max="6" width="14" hidden="0" customWidth="1"/>
    <x:col min="9" max="9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100" t="str">
        <x:v>Dashboard de Vendas | Xbox</x:v>
      </x:c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</x:row>
    <x:row r="2">
      <x:c r="A2" s="102" t="str">
        <x:v>Visão executiva para acompanhamento de faturamento, vendas e desempenho comercial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3">
      <x:c r="A3" s="101"/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</x:row>
    <x:row r="4">
      <x:c r="A4" s="103" t="str">
        <x:v>Faturamento Total</x:v>
      </x:c>
      <x:c r="B4" s="103"/>
      <x:c r="C4" s="103"/>
      <x:c r="D4" s="103" t="str">
        <x:v>Quantidade Vendida</x:v>
      </x:c>
      <x:c r="E4" s="103"/>
      <x:c r="F4" s="103"/>
      <x:c r="G4" s="103" t="str">
        <x:v>Ticket Médio</x:v>
      </x:c>
      <x:c r="H4" s="103"/>
      <x:c r="I4" s="103"/>
      <x:c r="J4" s="103" t="str">
        <x:v>Produto Destaque</x:v>
      </x:c>
      <x:c r="K4" s="103"/>
      <x:c r="L4" s="103"/>
      <x:c r="M4" s="103"/>
      <x:c r="N4" s="103"/>
      <x:c r="O4" s="103"/>
    </x:row>
    <x:row r="5">
      <x:c r="A5" s="104" t="n">
        <x:f>SUM(Base_Dados!J:J)</x:f>
        <x:v>399746.15</x:v>
      </x:c>
      <x:c r="B5" s="104"/>
      <x:c r="C5" s="104"/>
      <x:c r="D5" s="105" t="n">
        <x:f>SUM(Base_Dados!H:H)</x:f>
        <x:v>434</x:v>
      </x:c>
      <x:c r="E5" s="105"/>
      <x:c r="F5" s="105"/>
      <x:c r="G5" s="104" t="n">
        <x:f>IFERROR(SUM(Base_Dados!J:J)/SUM(Base_Dados!H:H),0)</x:f>
        <x:v>921.0740783410139</x:v>
      </x:c>
      <x:c r="H5" s="104"/>
      <x:c r="I5" s="104"/>
      <x:c r="J5" s="106" t="str">
        <x:f>INDEX(Apoio!M2:M9,MATCH(MAX(Apoio!N2:N9),Apoio!N2:N9,0))</x:f>
        <x:v>Xbox Series S</x:v>
      </x:c>
      <x:c r="K5" s="106"/>
      <x:c r="L5" s="106"/>
      <x:c r="M5" s="106"/>
      <x:c r="N5" s="106"/>
      <x:c r="O5" s="106"/>
    </x:row>
    <x:row r="6">
      <x:c r="A6" s="104"/>
      <x:c r="B6" s="104"/>
      <x:c r="C6" s="104"/>
      <x:c r="D6" s="105"/>
      <x:c r="E6" s="105"/>
      <x:c r="F6" s="105"/>
      <x:c r="G6" s="104"/>
      <x:c r="H6" s="104"/>
      <x:c r="I6" s="104"/>
      <x:c r="J6" s="106"/>
      <x:c r="K6" s="106"/>
      <x:c r="L6" s="106"/>
      <x:c r="M6" s="106"/>
      <x:c r="N6" s="106"/>
      <x:c r="O6" s="106"/>
    </x:row>
    <x:row r="7">
      <x:c r="A7" s="101"/>
      <x:c r="B7" s="101"/>
      <x:c r="C7" s="101"/>
      <x:c r="D7" s="101"/>
      <x:c r="E7" s="101"/>
      <x:c r="F7" s="101"/>
      <x:c r="G7" s="101"/>
      <x:c r="H7" s="101"/>
      <x:c r="I7" s="101"/>
      <x:c r="J7" s="101"/>
      <x:c r="K7" s="101"/>
      <x:c r="L7" s="101"/>
      <x:c r="M7" s="101"/>
      <x:c r="N7" s="101"/>
      <x:c r="O7" s="101"/>
    </x:row>
    <x:row r="8">
      <x:c r="A8" s="107" t="str">
        <x:v>Receita por Mês</x:v>
      </x:c>
      <x:c r="B8" s="101"/>
      <x:c r="C8" s="101"/>
      <x:c r="D8" s="101"/>
      <x:c r="E8" s="101"/>
      <x:c r="F8" s="101"/>
      <x:c r="G8" s="101"/>
      <x:c r="H8" s="107" t="str">
        <x:v>Receita por Categoria</x:v>
      </x:c>
      <x:c r="I8" s="101"/>
      <x:c r="J8" s="101"/>
      <x:c r="K8" s="101"/>
      <x:c r="L8" s="101"/>
      <x:c r="M8" s="101"/>
      <x:c r="N8" s="101"/>
      <x:c r="O8" s="101"/>
    </x:row>
    <x:row r="9">
      <x:c r="A9" s="101"/>
      <x:c r="B9" s="101"/>
      <x:c r="C9" s="101"/>
      <x:c r="D9" s="101"/>
      <x:c r="E9" s="101"/>
      <x:c r="F9" s="101"/>
      <x:c r="G9" s="101"/>
      <x:c r="H9" s="101"/>
      <x:c r="I9" s="101"/>
      <x:c r="J9" s="101"/>
      <x:c r="K9" s="101"/>
      <x:c r="L9" s="101"/>
      <x:c r="M9" s="101"/>
      <x:c r="N9" s="101"/>
      <x:c r="O9" s="101"/>
    </x:row>
    <x:row r="10">
      <x:c r="A10" s="101"/>
      <x:c r="B10" s="101"/>
      <x:c r="C10" s="101"/>
      <x:c r="D10" s="101"/>
      <x:c r="E10" s="101"/>
      <x:c r="F10" s="101"/>
      <x:c r="G10" s="101"/>
      <x:c r="H10" s="101"/>
      <x:c r="I10" s="101"/>
      <x:c r="J10" s="101"/>
      <x:c r="K10" s="101"/>
      <x:c r="L10" s="101"/>
      <x:c r="M10" s="101"/>
      <x:c r="N10" s="101"/>
      <x:c r="O10" s="101"/>
    </x:row>
    <x:row r="11">
      <x:c r="A11" s="101"/>
      <x:c r="B11" s="101"/>
      <x:c r="C11" s="101"/>
      <x:c r="D11" s="101"/>
      <x:c r="E11" s="101"/>
      <x:c r="F11" s="101"/>
      <x:c r="G11" s="101"/>
      <x:c r="H11" s="101"/>
      <x:c r="I11" s="101"/>
      <x:c r="J11" s="101"/>
      <x:c r="K11" s="101"/>
      <x:c r="L11" s="101"/>
      <x:c r="M11" s="101"/>
      <x:c r="N11" s="101"/>
      <x:c r="O11" s="101"/>
    </x:row>
    <x:row r="12">
      <x:c r="A12" s="101"/>
      <x:c r="B12" s="101"/>
      <x:c r="C12" s="101"/>
      <x:c r="D12" s="101"/>
      <x:c r="E12" s="101"/>
      <x:c r="F12" s="101"/>
      <x:c r="G12" s="101"/>
      <x:c r="H12" s="101"/>
      <x:c r="I12" s="101"/>
      <x:c r="J12" s="101"/>
      <x:c r="K12" s="101"/>
      <x:c r="L12" s="101"/>
      <x:c r="M12" s="101"/>
      <x:c r="N12" s="101"/>
      <x:c r="O12" s="101"/>
    </x:row>
    <x:row r="13">
      <x:c r="A13" s="101"/>
      <x:c r="B13" s="101"/>
      <x:c r="C13" s="101"/>
      <x:c r="D13" s="101"/>
      <x:c r="E13" s="101"/>
      <x:c r="F13" s="101"/>
      <x:c r="G13" s="101"/>
      <x:c r="H13" s="101"/>
      <x:c r="I13" s="101"/>
      <x:c r="J13" s="101"/>
      <x:c r="K13" s="101"/>
      <x:c r="L13" s="101"/>
      <x:c r="M13" s="101"/>
      <x:c r="N13" s="101"/>
      <x:c r="O13" s="101"/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</x:row>
    <x:row r="15">
      <x:c r="A15" s="101"/>
      <x:c r="B15" s="101"/>
      <x:c r="C15" s="101"/>
      <x:c r="D15" s="101"/>
      <x:c r="E15" s="101"/>
      <x:c r="F15" s="101"/>
      <x:c r="G15" s="101"/>
      <x:c r="H15" s="101"/>
      <x:c r="I15" s="101"/>
      <x:c r="J15" s="101"/>
      <x:c r="K15" s="101"/>
      <x:c r="L15" s="101"/>
      <x:c r="M15" s="101"/>
      <x:c r="N15" s="101"/>
      <x:c r="O15" s="101"/>
    </x:row>
    <x:row r="16">
      <x:c r="A16" s="101"/>
      <x:c r="B16" s="101"/>
      <x:c r="C16" s="101"/>
      <x:c r="D16" s="101"/>
      <x:c r="E16" s="101"/>
      <x:c r="F16" s="101"/>
      <x:c r="G16" s="101"/>
      <x:c r="H16" s="101"/>
      <x:c r="I16" s="101"/>
      <x:c r="J16" s="101"/>
      <x:c r="K16" s="101"/>
      <x:c r="L16" s="101"/>
      <x:c r="M16" s="101"/>
      <x:c r="N16" s="101"/>
      <x:c r="O16" s="101"/>
    </x:row>
    <x:row r="17">
      <x:c r="A17" s="101"/>
      <x:c r="B17" s="101"/>
      <x:c r="C17" s="101"/>
      <x:c r="D17" s="101"/>
      <x:c r="E17" s="101"/>
      <x:c r="F17" s="101"/>
      <x:c r="G17" s="101"/>
      <x:c r="H17" s="101"/>
      <x:c r="I17" s="101"/>
      <x:c r="J17" s="101"/>
      <x:c r="K17" s="101"/>
      <x:c r="L17" s="101"/>
      <x:c r="M17" s="101"/>
      <x:c r="N17" s="101"/>
      <x:c r="O17" s="101"/>
    </x:row>
    <x:row r="18">
      <x:c r="A18" s="101"/>
      <x:c r="B18" s="101"/>
      <x:c r="C18" s="101"/>
      <x:c r="D18" s="101"/>
      <x:c r="E18" s="101"/>
      <x:c r="F18" s="101"/>
      <x:c r="G18" s="101"/>
      <x:c r="H18" s="101"/>
      <x:c r="I18" s="101"/>
      <x:c r="J18" s="101"/>
      <x:c r="K18" s="101"/>
      <x:c r="L18" s="101"/>
      <x:c r="M18" s="101"/>
      <x:c r="N18" s="101"/>
      <x:c r="O18" s="101"/>
    </x:row>
    <x:row r="19">
      <x:c r="A19" s="101"/>
      <x:c r="B19" s="101"/>
      <x:c r="C19" s="101"/>
      <x:c r="D19" s="101"/>
      <x:c r="E19" s="101"/>
      <x:c r="F19" s="101"/>
      <x:c r="G19" s="101"/>
      <x:c r="H19" s="101"/>
      <x:c r="I19" s="101"/>
      <x:c r="J19" s="101"/>
      <x:c r="K19" s="101"/>
      <x:c r="L19" s="101"/>
      <x:c r="M19" s="101"/>
      <x:c r="N19" s="101"/>
      <x:c r="O19" s="101"/>
    </x:row>
    <x:row r="20">
      <x:c r="A20" s="101"/>
      <x:c r="B20" s="101"/>
      <x:c r="C20" s="101"/>
      <x:c r="D20" s="101"/>
      <x:c r="E20" s="101"/>
      <x:c r="F20" s="101"/>
      <x:c r="G20" s="101"/>
      <x:c r="H20" s="101"/>
      <x:c r="I20" s="101"/>
      <x:c r="J20" s="101"/>
      <x:c r="K20" s="101"/>
      <x:c r="L20" s="101"/>
      <x:c r="M20" s="101"/>
      <x:c r="N20" s="101"/>
      <x:c r="O20" s="101"/>
    </x:row>
    <x:row r="21">
      <x:c r="A21" s="101"/>
      <x:c r="B21" s="101"/>
      <x:c r="C21" s="101"/>
      <x:c r="D21" s="101"/>
      <x:c r="E21" s="101"/>
      <x:c r="F21" s="101"/>
      <x:c r="G21" s="101"/>
      <x:c r="H21" s="101"/>
      <x:c r="I21" s="101"/>
      <x:c r="J21" s="101"/>
      <x:c r="K21" s="101"/>
      <x:c r="L21" s="101"/>
      <x:c r="M21" s="101"/>
      <x:c r="N21" s="101"/>
      <x:c r="O21" s="101"/>
    </x:row>
    <x:row r="22">
      <x:c r="A22" s="101"/>
      <x:c r="B22" s="101"/>
      <x:c r="C22" s="101"/>
      <x:c r="D22" s="101"/>
      <x:c r="E22" s="101"/>
      <x:c r="F22" s="101"/>
      <x:c r="G22" s="101"/>
      <x:c r="H22" s="101"/>
      <x:c r="I22" s="101"/>
      <x:c r="J22" s="101"/>
      <x:c r="K22" s="101"/>
      <x:c r="L22" s="101"/>
      <x:c r="M22" s="101"/>
      <x:c r="N22" s="101"/>
      <x:c r="O22" s="101"/>
    </x:row>
    <x:row r="23">
      <x:c r="A23" s="107" t="str">
        <x:v>Receita por Região</x:v>
      </x:c>
      <x:c r="B23" s="101"/>
      <x:c r="C23" s="101"/>
      <x:c r="D23" s="101"/>
      <x:c r="E23" s="101"/>
      <x:c r="F23" s="101"/>
      <x:c r="G23" s="101"/>
      <x:c r="H23" s="107" t="str">
        <x:v>Receita por Vendedor</x:v>
      </x:c>
      <x:c r="I23" s="101"/>
      <x:c r="J23" s="101"/>
      <x:c r="K23" s="101"/>
      <x:c r="L23" s="101"/>
      <x:c r="M23" s="101"/>
      <x:c r="N23" s="101"/>
      <x:c r="O23" s="101"/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</x:row>
    <x:row r="25">
      <x:c r="A25" s="101"/>
      <x:c r="B25" s="101"/>
      <x:c r="C25" s="101"/>
      <x:c r="D25" s="101"/>
      <x:c r="E25" s="101"/>
      <x:c r="F25" s="101"/>
      <x:c r="G25" s="101"/>
      <x:c r="H25" s="101"/>
      <x:c r="I25" s="101"/>
      <x:c r="J25" s="101"/>
      <x:c r="K25" s="101"/>
      <x:c r="L25" s="101"/>
      <x:c r="M25" s="101"/>
      <x:c r="N25" s="101"/>
      <x:c r="O25" s="101"/>
    </x:row>
    <x:row r="26">
      <x:c r="A26" s="101"/>
      <x:c r="B26" s="101"/>
      <x:c r="C26" s="101"/>
      <x:c r="D26" s="101"/>
      <x:c r="E26" s="101"/>
      <x:c r="F26" s="101"/>
      <x:c r="G26" s="101"/>
      <x:c r="H26" s="101"/>
      <x:c r="I26" s="101"/>
      <x:c r="J26" s="101"/>
      <x:c r="K26" s="101"/>
      <x:c r="L26" s="101"/>
      <x:c r="M26" s="101"/>
      <x:c r="N26" s="101"/>
      <x:c r="O26" s="101"/>
    </x:row>
    <x:row r="27">
      <x:c r="A27" s="101"/>
      <x:c r="B27" s="101"/>
      <x:c r="C27" s="101"/>
      <x:c r="D27" s="101"/>
      <x:c r="E27" s="101"/>
      <x:c r="F27" s="101"/>
      <x:c r="G27" s="101"/>
      <x:c r="H27" s="101"/>
      <x:c r="I27" s="101"/>
      <x:c r="J27" s="101"/>
      <x:c r="K27" s="101"/>
      <x:c r="L27" s="101"/>
      <x:c r="M27" s="101"/>
      <x:c r="N27" s="101"/>
      <x:c r="O27" s="101"/>
    </x:row>
    <x:row r="28">
      <x:c r="A28" s="101"/>
      <x:c r="B28" s="101"/>
      <x:c r="C28" s="101"/>
      <x:c r="D28" s="101"/>
      <x:c r="E28" s="101"/>
      <x:c r="F28" s="101"/>
      <x:c r="G28" s="101"/>
      <x:c r="H28" s="101"/>
      <x:c r="I28" s="101"/>
      <x:c r="J28" s="101"/>
      <x:c r="K28" s="101"/>
      <x:c r="L28" s="101"/>
      <x:c r="M28" s="101"/>
      <x:c r="N28" s="101"/>
      <x:c r="O28" s="101"/>
    </x:row>
    <x:row r="29">
      <x:c r="A29" s="101"/>
      <x:c r="B29" s="101"/>
      <x:c r="C29" s="101"/>
      <x:c r="D29" s="101"/>
      <x:c r="E29" s="101"/>
      <x:c r="F29" s="101"/>
      <x:c r="G29" s="101"/>
      <x:c r="H29" s="101"/>
      <x:c r="I29" s="101"/>
      <x:c r="J29" s="101"/>
      <x:c r="K29" s="101"/>
      <x:c r="L29" s="101"/>
      <x:c r="M29" s="101"/>
      <x:c r="N29" s="101"/>
      <x:c r="O29" s="101"/>
    </x:row>
    <x:row r="30">
      <x:c r="A30" s="101"/>
      <x:c r="B30" s="101"/>
      <x:c r="C30" s="101"/>
      <x:c r="D30" s="101"/>
      <x:c r="E30" s="101"/>
      <x:c r="F30" s="101"/>
      <x:c r="G30" s="101"/>
      <x:c r="H30" s="101"/>
      <x:c r="I30" s="101"/>
      <x:c r="J30" s="101"/>
      <x:c r="K30" s="101"/>
      <x:c r="L30" s="101"/>
      <x:c r="M30" s="101"/>
      <x:c r="N30" s="101"/>
      <x:c r="O30" s="101"/>
    </x:row>
    <x:row r="31">
      <x:c r="A31" s="101"/>
      <x:c r="B31" s="101"/>
      <x:c r="C31" s="101"/>
      <x:c r="D31" s="101"/>
      <x:c r="E31" s="101"/>
      <x:c r="F31" s="101"/>
      <x:c r="G31" s="101"/>
      <x:c r="H31" s="101"/>
      <x:c r="I31" s="101"/>
      <x:c r="J31" s="101"/>
      <x:c r="K31" s="101"/>
      <x:c r="L31" s="101"/>
      <x:c r="M31" s="101"/>
      <x:c r="N31" s="101"/>
      <x:c r="O31" s="101"/>
    </x:row>
    <x:row r="32">
      <x:c r="A32" s="101"/>
      <x:c r="B32" s="101"/>
      <x:c r="C32" s="101"/>
      <x:c r="D32" s="101"/>
      <x:c r="E32" s="101"/>
      <x:c r="F32" s="101"/>
      <x:c r="G32" s="101"/>
      <x:c r="H32" s="101"/>
      <x:c r="I32" s="101"/>
      <x:c r="J32" s="101"/>
      <x:c r="K32" s="101"/>
      <x:c r="L32" s="101"/>
      <x:c r="M32" s="101"/>
      <x:c r="N32" s="101"/>
      <x:c r="O32" s="101"/>
    </x:row>
    <x:row r="33">
      <x:c r="A33" s="101"/>
      <x:c r="B33" s="101"/>
      <x:c r="C33" s="101"/>
      <x:c r="D33" s="101"/>
      <x:c r="E33" s="101"/>
      <x:c r="F33" s="101"/>
      <x:c r="G33" s="101"/>
      <x:c r="H33" s="101"/>
      <x:c r="I33" s="101"/>
      <x:c r="J33" s="101"/>
      <x:c r="K33" s="101"/>
      <x:c r="L33" s="101"/>
      <x:c r="M33" s="101"/>
      <x:c r="N33" s="101"/>
      <x:c r="O33" s="101"/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</x:row>
    <x:row r="35">
      <x:c r="A35" s="101"/>
      <x:c r="B35" s="101"/>
      <x:c r="C35" s="101"/>
      <x:c r="D35" s="101"/>
      <x:c r="E35" s="101"/>
      <x:c r="F35" s="101"/>
      <x:c r="G35" s="101"/>
      <x:c r="H35" s="101"/>
      <x:c r="I35" s="101"/>
      <x:c r="J35" s="101"/>
      <x:c r="K35" s="101"/>
      <x:c r="L35" s="101"/>
      <x:c r="M35" s="101"/>
      <x:c r="N35" s="101"/>
      <x:c r="O35" s="101"/>
    </x:row>
    <x:row r="36">
      <x:c r="A36" s="101"/>
      <x:c r="B36" s="101"/>
      <x:c r="C36" s="101"/>
      <x:c r="D36" s="101"/>
      <x:c r="E36" s="101"/>
      <x:c r="F36" s="101"/>
      <x:c r="G36" s="101"/>
      <x:c r="H36" s="101"/>
      <x:c r="I36" s="101"/>
      <x:c r="J36" s="101"/>
      <x:c r="K36" s="101"/>
      <x:c r="L36" s="101"/>
      <x:c r="M36" s="101"/>
      <x:c r="N36" s="101"/>
      <x:c r="O36" s="101"/>
    </x:row>
    <x:row r="37">
      <x:c r="A37" s="101"/>
      <x:c r="B37" s="101"/>
      <x:c r="C37" s="101"/>
      <x:c r="D37" s="101"/>
      <x:c r="E37" s="101"/>
      <x:c r="F37" s="101"/>
      <x:c r="G37" s="101"/>
      <x:c r="H37" s="101"/>
      <x:c r="I37" s="101"/>
      <x:c r="J37" s="101"/>
      <x:c r="K37" s="101"/>
      <x:c r="L37" s="101"/>
      <x:c r="M37" s="101"/>
      <x:c r="N37" s="101"/>
      <x:c r="O37" s="101"/>
    </x:row>
    <x:row r="38">
      <x:c r="A38" s="101"/>
      <x:c r="B38" s="101"/>
      <x:c r="C38" s="101"/>
      <x:c r="D38" s="101"/>
      <x:c r="E38" s="101"/>
      <x:c r="F38" s="101"/>
      <x:c r="G38" s="101"/>
      <x:c r="H38" s="101"/>
      <x:c r="I38" s="101"/>
      <x:c r="J38" s="101"/>
      <x:c r="K38" s="101"/>
      <x:c r="L38" s="101"/>
      <x:c r="M38" s="101"/>
      <x:c r="N38" s="101"/>
      <x:c r="O38" s="101"/>
    </x:row>
    <x:row r="39">
      <x:c r="A39" s="108" t="str">
        <x:v>Resumo por Produto</x:v>
      </x:c>
      <x:c r="B39" s="101"/>
      <x:c r="C39" s="101"/>
      <x:c r="D39" s="101"/>
      <x:c r="E39" s="101"/>
      <x:c r="F39" s="101"/>
      <x:c r="G39" s="101"/>
      <x:c r="H39" s="101"/>
      <x:c r="I39" s="101"/>
      <x:c r="J39" s="101"/>
      <x:c r="K39" s="101"/>
      <x:c r="L39" s="101"/>
      <x:c r="M39" s="101"/>
      <x:c r="N39" s="101"/>
      <x:c r="O39" s="101"/>
    </x:row>
    <x:row r="40">
      <x:c r="A40" s="109" t="str">
        <x:v>Produto</x:v>
      </x:c>
      <x:c r="B40" s="109" t="str">
        <x:v>Receita</x:v>
      </x:c>
      <x:c r="C40" s="109" t="str">
        <x:v>Participação</x:v>
      </x:c>
      <x:c r="D40" s="101"/>
      <x:c r="E40" s="101"/>
      <x:c r="F40" s="101"/>
      <x:c r="G40" s="101"/>
      <x:c r="H40" s="101"/>
      <x:c r="I40" s="101"/>
      <x:c r="J40" s="101"/>
      <x:c r="K40" s="101"/>
      <x:c r="L40" s="101"/>
      <x:c r="M40" s="101"/>
      <x:c r="N40" s="101"/>
      <x:c r="O40" s="101"/>
    </x:row>
    <x:row r="41">
      <x:c r="A41" s="110" t="str">
        <x:f>Apoio!M2</x:f>
        <x:v>Xbox Series X</x:v>
      </x:c>
      <x:c r="B41" s="111" t="n">
        <x:f>Apoio!N2</x:f>
        <x:v>164246.32999999996</x:v>
      </x:c>
      <x:c r="C41" s="112" t="n">
        <x:f>B41/SUM($B$41:$B$48)</x:f>
        <x:v>0.41087657754802637</x:v>
      </x:c>
      <x:c r="D41" s="101"/>
      <x:c r="E41" s="101"/>
      <x:c r="F41" s="101"/>
      <x:c r="G41" s="101"/>
      <x:c r="H41" s="101"/>
      <x:c r="I41" s="101"/>
      <x:c r="J41" s="101"/>
      <x:c r="K41" s="101"/>
      <x:c r="L41" s="101"/>
      <x:c r="M41" s="101"/>
      <x:c r="N41" s="101"/>
      <x:c r="O41" s="101"/>
    </x:row>
    <x:row r="42">
      <x:c r="A42" s="110" t="str">
        <x:f>Apoio!M3</x:f>
        <x:v>Xbox Series S</x:v>
      </x:c>
      <x:c r="B42" s="111" t="n">
        <x:f>Apoio!N3</x:f>
        <x:v>171868.18</x:v>
      </x:c>
      <x:c r="C42" s="112" t="n">
        <x:f>B42/SUM($B$41:$B$48)</x:f>
        <x:v>0.4299433027685195</x:v>
      </x:c>
      <x:c r="D42" s="101"/>
      <x:c r="E42" s="101"/>
      <x:c r="F42" s="101"/>
      <x:c r="G42" s="101"/>
      <x:c r="H42" s="101"/>
      <x:c r="I42" s="101"/>
      <x:c r="J42" s="101"/>
      <x:c r="K42" s="101"/>
      <x:c r="L42" s="101"/>
      <x:c r="M42" s="101"/>
      <x:c r="N42" s="101"/>
      <x:c r="O42" s="101"/>
    </x:row>
    <x:row r="43">
      <x:c r="A43" s="110" t="str">
        <x:f>Apoio!M4</x:f>
        <x:v>Controle Xbox</x:v>
      </x:c>
      <x:c r="B43" s="111" t="n">
        <x:f>Apoio!N4</x:f>
        <x:v>20594.76</x:v>
      </x:c>
      <x:c r="C43" s="112" t="n">
        <x:f>B43/SUM($B$41:$B$48)</x:f>
        <x:v>0.05151959562337248</x:v>
      </x:c>
      <x:c r="D43" s="101"/>
      <x:c r="E43" s="101"/>
      <x:c r="F43" s="101"/>
      <x:c r="G43" s="101"/>
      <x:c r="H43" s="101"/>
      <x:c r="I43" s="101"/>
      <x:c r="J43" s="101"/>
      <x:c r="K43" s="101"/>
      <x:c r="L43" s="101"/>
      <x:c r="M43" s="101"/>
      <x:c r="N43" s="101"/>
      <x:c r="O43" s="101"/>
    </x:row>
    <x:row r="44">
      <x:c r="A44" s="110" t="str">
        <x:f>Apoio!M5</x:f>
        <x:v>Headset Xbox</x:v>
      </x:c>
      <x:c r="B44" s="111" t="n">
        <x:f>Apoio!N5</x:f>
        <x:v>13585.439999999999</x:v>
      </x:c>
      <x:c r="C44" s="112" t="n">
        <x:f>B44/SUM($B$41:$B$48)</x:f>
        <x:v>0.03398516783713865</x:v>
      </x:c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</x:row>
    <x:row r="45">
      <x:c r="A45" s="110" t="str">
        <x:f>Apoio!M6</x:f>
        <x:v>Game Pass Ultimate</x:v>
      </x:c>
      <x:c r="B45" s="111" t="n">
        <x:f>Apoio!N6</x:f>
        <x:v>4402.56</x:v>
      </x:c>
      <x:c r="C45" s="112" t="n">
        <x:f>B45/SUM($B$41:$B$48)</x:f>
        <x:v>0.011013389372230354</x:v>
      </x:c>
      <x:c r="D45" s="101"/>
      <x:c r="E45" s="101"/>
      <x:c r="F45" s="101"/>
      <x:c r="G45" s="101"/>
      <x:c r="H45" s="101"/>
      <x:c r="I45" s="101"/>
      <x:c r="J45" s="101"/>
      <x:c r="K45" s="101"/>
      <x:c r="L45" s="101"/>
      <x:c r="M45" s="101"/>
      <x:c r="N45" s="101"/>
      <x:c r="O45" s="101"/>
    </x:row>
    <x:row r="46">
      <x:c r="A46" s="110" t="str">
        <x:f>Apoio!M7</x:f>
        <x:v>Forza Horizon 5</x:v>
      </x:c>
      <x:c r="B46" s="111" t="n">
        <x:f>Apoio!N7</x:f>
        <x:v>9133.9</x:v>
      </x:c>
      <x:c r="C46" s="112" t="n">
        <x:f>B46/SUM($B$41:$B$48)</x:f>
        <x:v>0.022849250705729126</x:v>
      </x:c>
      <x:c r="D46" s="101"/>
      <x:c r="E46" s="101"/>
      <x:c r="F46" s="101"/>
      <x:c r="G46" s="101"/>
      <x:c r="H46" s="101"/>
      <x:c r="I46" s="101"/>
      <x:c r="J46" s="101"/>
      <x:c r="K46" s="101"/>
      <x:c r="L46" s="101"/>
      <x:c r="M46" s="101"/>
      <x:c r="N46" s="101"/>
      <x:c r="O46" s="101"/>
    </x:row>
    <x:row r="47">
      <x:c r="A47" s="110" t="str">
        <x:f>Apoio!M8</x:f>
        <x:v>Halo Infinite</x:v>
      </x:c>
      <x:c r="B47" s="111" t="n">
        <x:f>Apoio!N8</x:f>
        <x:v>10154.98</x:v>
      </x:c>
      <x:c r="C47" s="112" t="n">
        <x:f>B47/SUM($B$41:$B$48)</x:f>
        <x:v>0.025403571741716587</x:v>
      </x:c>
      <x:c r="D47" s="101"/>
      <x:c r="E47" s="101"/>
      <x:c r="F47" s="101"/>
      <x:c r="G47" s="101"/>
      <x:c r="H47" s="101"/>
      <x:c r="I47" s="101"/>
      <x:c r="J47" s="101"/>
      <x:c r="K47" s="101"/>
      <x:c r="L47" s="101"/>
      <x:c r="M47" s="101"/>
      <x:c r="N47" s="101"/>
      <x:c r="O47" s="101"/>
    </x:row>
    <x:row r="48">
      <x:c r="A48" s="110" t="str">
        <x:f>Apoio!M9</x:f>
        <x:v>Gift Card Xbox</x:v>
      </x:c>
      <x:c r="B48" s="111" t="n">
        <x:f>Apoio!N9</x:f>
        <x:v>5760</x:v>
      </x:c>
      <x:c r="C48" s="112" t="n">
        <x:f>B48/SUM($B$41:$B$48)</x:f>
        <x:v>0.014409144403266924</x:v>
      </x:c>
      <x:c r="D48" s="101"/>
      <x:c r="E48" s="101"/>
      <x:c r="F48" s="101"/>
      <x:c r="G48" s="101"/>
      <x:c r="H48" s="101"/>
      <x:c r="I48" s="101"/>
      <x:c r="J48" s="101"/>
      <x:c r="K48" s="101"/>
      <x:c r="L48" s="101"/>
      <x:c r="M48" s="101"/>
      <x:c r="N48" s="101"/>
      <x:c r="O48" s="101"/>
    </x:row>
  </x:sheetData>
  <x:mergeCells>
    <x:mergeCell ref="A1:O1"/>
    <x:mergeCell ref="A2:O2"/>
    <x:mergeCell ref="A4:C6"/>
    <x:mergeCell ref="D4:F6"/>
    <x:mergeCell ref="G4:I6"/>
    <x:mergeCell ref="J4:O6"/>
    <x:mergeCell ref="A4:C4"/>
    <x:mergeCell ref="A5:C6"/>
    <x:mergeCell ref="D4:F4"/>
    <x:mergeCell ref="D5:F6"/>
    <x:mergeCell ref="G4:I4"/>
    <x:mergeCell ref="G5:I6"/>
    <x:mergeCell ref="J4:O4"/>
    <x:mergeCell ref="J5:O6"/>
    <x:mergeCell ref="A39:C39"/>
  </x:mergeCells>
  <x:conditionalFormatting sqref="C41:C48">
    <x:cfRule type="dataBar" priority="1">
      <x:dataBar>
        <x:cfvo type="min"/>
        <x:cfvo type="max"/>
        <x:color rgb="38BDF8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5b030952c7048f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38BDF8"/>
            </x14:dataBar>
          </x14:cfRule>
          <xm:sqref>C41:C48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5.299999237060547" hidden="0" customWidth="1"/>
    <x:col min="2" max="2" width="80.22000122070312" hidden="0" customWidth="1"/>
  </x:cols>
  <x:sheetData>
    <x:row r="1">
      <x:c r="A1" s="77" t="str">
        <x:v>Instruções do Projeto</x:v>
      </x:c>
    </x:row>
    <x:row r="3">
      <x:c r="A3" s="80" t="str">
        <x:v>Objetivo</x:v>
      </x:c>
      <x:c r="B3" s="82" t="str">
        <x:v>Criar um dashboard de vendas no Excel para transformar dados brutos em informações visuais úteis.</x:v>
      </x:c>
    </x:row>
    <x:row r="4">
      <x:c r="A4" s="80" t="str">
        <x:v>Como usar</x:v>
      </x:c>
      <x:c r="B4" s="82" t="str">
        <x:v>Atualize ou substitua os dados na aba Base_Dados mantendo os mesmos cabeçalhos.</x:v>
      </x:c>
    </x:row>
    <x:row r="5">
      <x:c r="A5" s="80" t="str">
        <x:v>Dashboard</x:v>
      </x:c>
      <x:c r="B5" s="82" t="str">
        <x:v>A aba Dashboard apresenta KPIs, gráficos de evolução, categoria, região, vendedor e produto.</x:v>
      </x:c>
    </x:row>
    <x:row r="6">
      <x:c r="A6" s="80" t="str">
        <x:v>Apoio</x:v>
      </x:c>
      <x:c r="B6" s="82" t="str">
        <x:v>A aba Apoio concentra os resumos utilizados pelos gráficos.</x:v>
      </x:c>
    </x:row>
    <x:row r="7">
      <x:c r="A7" s="80" t="str">
        <x:v>Entrega</x:v>
      </x:c>
      <x:c r="B7" s="82" t="str">
        <x:v>Suba este arquivo .xlsx no GitHub junto com o README.md do projeto.</x:v>
      </x:c>
    </x:row>
  </x:sheetData>
  <x:mergeCells>
    <x:mergeCell ref="A1:E1"/>
  </x:mergeCells>
  <x:pageMargins left="0.7" right="0.7" top="0.75" bottom="0.75" header="0.3" footer="0.3"/>
</x:worksheet>
</file>